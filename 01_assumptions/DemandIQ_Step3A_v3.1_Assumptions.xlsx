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roducts" sheetId="2" state="visible" r:id="rId4"/>
    <sheet name="Plan_Year_Growth" sheetId="3" state="visible" r:id="rId5"/>
    <sheet name="Regions" sheetId="4" state="visible" r:id="rId6"/>
    <sheet name="Regional_Seasonality" sheetId="5" state="visible" r:id="rId7"/>
    <sheet name="Channel_Mix" sheetId="6" state="visible" r:id="rId8"/>
    <sheet name="Weather_Usage" sheetId="7" state="visible" r:id="rId9"/>
    <sheet name="Return_Restocking" sheetId="8" state="visible" r:id="rId10"/>
    <sheet name="Excess_Inventory" sheetId="9" state="visible" r:id="rId11"/>
    <sheet name="Weather_DGP" sheetId="10" state="visible" r:id="rId12"/>
    <sheet name="Seasonal_Buy" sheetId="11" state="visible" r:id="rId13"/>
    <sheet name="QA_Framework" sheetId="12" state="visible" r:id="rId14"/>
    <sheet name="Assumption_Register" sheetId="13" state="visible" r:id="rId15"/>
    <sheet name="Known_Limitations" sheetId="14" state="visible" r:id="rId16"/>
    <sheet name="Version_History"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<sst xmlns="http://schemas.openxmlformats.org/spreadsheetml/2006/main" count="1336" uniqueCount="718">
  <si>
    <t xml:space="preserve">DemandIQ — Step 3A v3.1 Assumption Framework</t>
  </si>
  <si>
    <t xml:space="preserve">Governing assumption register for the simulated demand-planning environment. Documents what Step 3B v3.1 and Step 3C v5 actually implement, including retained limitations.</t>
  </si>
  <si>
    <t xml:space="preserve">Project identity</t>
  </si>
  <si>
    <t xml:space="preserve">Project</t>
  </si>
  <si>
    <t xml:space="preserve">DemandIQ — Premium Outdoor Apparel Demand Planning &amp; IBP Simulation</t>
  </si>
  <si>
    <t xml:space="preserve">Revision</t>
  </si>
  <si>
    <t xml:space="preserve">Step 3A v3.1 — aligned to Step 3B v3.1 and Step 3C v5 outputs</t>
  </si>
  <si>
    <t xml:space="preserve">Status</t>
  </si>
  <si>
    <t xml:space="preserve">Governing document. Supersedes Step 3A v3.</t>
  </si>
  <si>
    <t xml:space="preserve">Primary grain</t>
  </si>
  <si>
    <t xml:space="preserve">week × SKU × region × channel</t>
  </si>
  <si>
    <t xml:space="preserve">Primary forecast grain</t>
  </si>
  <si>
    <t xml:space="preserve">SKU × channel; region allocated / reconciled</t>
  </si>
  <si>
    <t xml:space="preserve">Plan year</t>
  </si>
  <si>
    <t xml:space="preserve">July–June</t>
  </si>
  <si>
    <t xml:space="preserve">Mature SKUs</t>
  </si>
  <si>
    <t xml:space="preserve">3 (CTS-001, IMH-001, APS-001)</t>
  </si>
  <si>
    <t xml:space="preserve">New launch SKU</t>
  </si>
  <si>
    <t xml:space="preserve">1 (HIS-001, analog-forecast at a later step)</t>
  </si>
  <si>
    <t xml:space="preserve">Regions</t>
  </si>
  <si>
    <t xml:space="preserve">9</t>
  </si>
  <si>
    <t xml:space="preserve">Historical weeks</t>
  </si>
  <si>
    <t xml:space="preserve">260 (PY2022–PY2026)</t>
  </si>
  <si>
    <t xml:space="preserve">Historical rows</t>
  </si>
  <si>
    <t xml:space="preserve">21,060</t>
  </si>
  <si>
    <t xml:space="preserve">Total simulated true demand</t>
  </si>
  <si>
    <t xml:space="preserve">809,592 units</t>
  </si>
  <si>
    <t xml:space="preserve">What changed in v3.1</t>
  </si>
  <si>
    <t xml:space="preserve">Weather_DGP</t>
  </si>
  <si>
    <t xml:space="preserve">Hard clip replaced by soft tanh cap; sensitivities re-tuned; hidden daily driver definitions stated explicitly; US_MIDWEST coverage added as a documented synthetic proxy</t>
  </si>
  <si>
    <t xml:space="preserve">Seasonal_Buy</t>
  </si>
  <si>
    <t xml:space="preserve">Annual buy-split replaced by forward-coverage (weeks-of-supply) receipt planning across four drops from July, with a peak replenishment throttle and a working chase lever</t>
  </si>
  <si>
    <t xml:space="preserve">QA_Framework</t>
  </si>
  <si>
    <t xml:space="preserve">Converted from input-only targets to target-vs-generated actuals</t>
  </si>
  <si>
    <t xml:space="preserve">Known_Limitations</t>
  </si>
  <si>
    <t xml:space="preserve">New sheet — retained imperfections, stated deliberately</t>
  </si>
  <si>
    <t xml:space="preserve">Version_History</t>
  </si>
  <si>
    <t xml:space="preserve">New sheet — v2 → v3 → v3.1 rationale</t>
  </si>
  <si>
    <t xml:space="preserve">How to read this workbook</t>
  </si>
  <si>
    <t xml:space="preserve">ASSUMPTION</t>
  </si>
  <si>
    <t xml:space="preserve">An input chosen for the simulation. Provenance SYNTHETIC unless stated.</t>
  </si>
  <si>
    <t xml:space="preserve">GENERATED ACTUAL</t>
  </si>
  <si>
    <t xml:space="preserve">A value measured from the produced datasets. Shaded green. Not an input — do not edit to change behaviour.</t>
  </si>
  <si>
    <t xml:space="preserve">Changed in v3.1</t>
  </si>
  <si>
    <t xml:space="preserve">Shaded amber in Weather_DGP and Seasonal_Buy.</t>
  </si>
  <si>
    <t xml:space="preserve">Governance</t>
  </si>
  <si>
    <t xml:space="preserve">Data disclosure</t>
  </si>
  <si>
    <t xml:space="preserve">No proprietary Arc'teryx or Amer Sports data is used. All demand, inventory, pricing, elasticity, service and cost values are synthetic and generated from documented rules.</t>
  </si>
  <si>
    <t xml:space="preserve">Weather provenance</t>
  </si>
  <si>
    <t xml:space="preserve">Observed ERA5 reanalysis via Open-Meteo for 8 of 9 regions; US_MIDWEST is a documented synthetic proxy (see Weather_DGP).</t>
  </si>
  <si>
    <t xml:space="preserve">Leakage rule</t>
  </si>
  <si>
    <t xml:space="preserve">Realized future weather remains PROHIBITED as a planning-horizon model input. See Weather_Usage.</t>
  </si>
  <si>
    <t xml:space="preserve">Products</t>
  </si>
  <si>
    <t xml:space="preserve">Unchanged from v3. Structural growth is carried entirely by these rates and is unaffected by the v3.1 weather change.</t>
  </si>
  <si>
    <t xml:space="preserve">sku_id</t>
  </si>
  <si>
    <t xml:space="preserve">product_name</t>
  </si>
  <si>
    <t xml:space="preserve">product_type</t>
  </si>
  <si>
    <t xml:space="preserve">lifecycle_stage</t>
  </si>
  <si>
    <t xml:space="preserve">base_weekly_units_py2022</t>
  </si>
  <si>
    <t xml:space="preserve">structural_growth_rate</t>
  </si>
  <si>
    <t xml:space="preserve">msrp_cad</t>
  </si>
  <si>
    <t xml:space="preserve">promo_uplift_pct</t>
  </si>
  <si>
    <t xml:space="preserve">noise_sd_pct</t>
  </si>
  <si>
    <t xml:space="preserve">provenance</t>
  </si>
  <si>
    <t xml:space="preserve">CTS-001</t>
  </si>
  <si>
    <t xml:space="preserve">Core Technical Shell</t>
  </si>
  <si>
    <t xml:space="preserve">Waterproof shell</t>
  </si>
  <si>
    <t xml:space="preserve">Mature</t>
  </si>
  <si>
    <t xml:space="preserve">SYNTHETIC</t>
  </si>
  <si>
    <t xml:space="preserve">IMH-001</t>
  </si>
  <si>
    <t xml:space="preserve">Insulated Midlayer Hoody</t>
  </si>
  <si>
    <t xml:space="preserve">Insulated midlayer</t>
  </si>
  <si>
    <t xml:space="preserve">APS-001</t>
  </si>
  <si>
    <t xml:space="preserve">Alpine Performance Shell</t>
  </si>
  <si>
    <t xml:space="preserve">Premium alpine shell</t>
  </si>
  <si>
    <t xml:space="preserve">Mature-seasonal</t>
  </si>
  <si>
    <t xml:space="preserve">HIS-001</t>
  </si>
  <si>
    <t xml:space="preserve">Hybrid Insulated Shell</t>
  </si>
  <si>
    <t xml:space="preserve">Insulated weatherproof shell</t>
  </si>
  <si>
    <t xml:space="preserve">New Launch</t>
  </si>
  <si>
    <t xml:space="preserve">Plan Year Growth</t>
  </si>
  <si>
    <t xml:space="preserve">Unchanged from v3.</t>
  </si>
  <si>
    <t xml:space="preserve">plan_year</t>
  </si>
  <si>
    <t xml:space="preserve">period_start</t>
  </si>
  <si>
    <t xml:space="preserve">period_end</t>
  </si>
  <si>
    <t xml:space="preserve">CTS-001_factor</t>
  </si>
  <si>
    <t xml:space="preserve">IMH-001_factor</t>
  </si>
  <si>
    <t xml:space="preserve">APS-001_factor</t>
  </si>
  <si>
    <t xml:space="preserve">note</t>
  </si>
  <si>
    <t xml:space="preserve">PY2022</t>
  </si>
  <si>
    <t xml:space="preserve">2021-07-01</t>
  </si>
  <si>
    <t xml:space="preserve">2022-06-30</t>
  </si>
  <si>
    <t xml:space="preserve">Base plan year</t>
  </si>
  <si>
    <t xml:space="preserve">PY2023</t>
  </si>
  <si>
    <t xml:space="preserve">2022-07-01</t>
  </si>
  <si>
    <t xml:space="preserve">2023-06-30</t>
  </si>
  <si>
    <t xml:space="preserve">One structural growth step</t>
  </si>
  <si>
    <t xml:space="preserve">PY2024</t>
  </si>
  <si>
    <t xml:space="preserve">2023-07-01</t>
  </si>
  <si>
    <t xml:space="preserve">2024-06-30</t>
  </si>
  <si>
    <t xml:space="preserve">Compounded from PY2022</t>
  </si>
  <si>
    <t xml:space="preserve">PY2025</t>
  </si>
  <si>
    <t xml:space="preserve">2024-07-01</t>
  </si>
  <si>
    <t xml:space="preserve">2025-06-30</t>
  </si>
  <si>
    <t xml:space="preserve">PY2026</t>
  </si>
  <si>
    <t xml:space="preserve">2025-07-01</t>
  </si>
  <si>
    <t xml:space="preserve">2026-06-30</t>
  </si>
  <si>
    <t xml:space="preserve">Unchanged from v3. US_MIDWEST weather provenance is documented separately in Weather_DGP.</t>
  </si>
  <si>
    <t xml:space="preserve">region_id</t>
  </si>
  <si>
    <t xml:space="preserve">country</t>
  </si>
  <si>
    <t xml:space="preserve">region_name</t>
  </si>
  <si>
    <t xml:space="preserve">weather_proxy</t>
  </si>
  <si>
    <t xml:space="preserve">portfolio_share_target</t>
  </si>
  <si>
    <t xml:space="preserve">market_role</t>
  </si>
  <si>
    <t xml:space="preserve">CA_PNW</t>
  </si>
  <si>
    <t xml:space="preserve">Canada</t>
  </si>
  <si>
    <t xml:space="preserve">British Columbia / Pacific Coast</t>
  </si>
  <si>
    <t xml:space="preserve">Vancouver</t>
  </si>
  <si>
    <t xml:space="preserve">Wet technical shell stronghold</t>
  </si>
  <si>
    <t xml:space="preserve">CA_PRAIRIE</t>
  </si>
  <si>
    <t xml:space="preserve">Alberta / Prairies</t>
  </si>
  <si>
    <t xml:space="preserve">Calgary</t>
  </si>
  <si>
    <t xml:space="preserve">Cold/snow technical market</t>
  </si>
  <si>
    <t xml:space="preserve">CA_ON</t>
  </si>
  <si>
    <t xml:space="preserve">Ontario</t>
  </si>
  <si>
    <t xml:space="preserve">Toronto</t>
  </si>
  <si>
    <t xml:space="preserve">Largest Canadian demand pool</t>
  </si>
  <si>
    <t xml:space="preserve">CA_QC</t>
  </si>
  <si>
    <t xml:space="preserve">Quebec</t>
  </si>
  <si>
    <t xml:space="preserve">Montreal</t>
  </si>
  <si>
    <t xml:space="preserve">Cold winter demand</t>
  </si>
  <si>
    <t xml:space="preserve">US_PNW</t>
  </si>
  <si>
    <t xml:space="preserve">United States</t>
  </si>
  <si>
    <t xml:space="preserve">Pacific Northwest</t>
  </si>
  <si>
    <t xml:space="preserve">Seattle</t>
  </si>
  <si>
    <t xml:space="preserve">Wet technical market</t>
  </si>
  <si>
    <t xml:space="preserve">US_NE</t>
  </si>
  <si>
    <t xml:space="preserve">Northeast</t>
  </si>
  <si>
    <t xml:space="preserve">New York</t>
  </si>
  <si>
    <t xml:space="preserve">Large broad outerwear market</t>
  </si>
  <si>
    <t xml:space="preserve">US_MIDWEST</t>
  </si>
  <si>
    <t xml:space="preserve">Midwest</t>
  </si>
  <si>
    <t xml:space="preserve">Chicago</t>
  </si>
  <si>
    <t xml:space="preserve">Major cold-weather outerwear market</t>
  </si>
  <si>
    <t xml:space="preserve">US_MTN</t>
  </si>
  <si>
    <t xml:space="preserve">Mountain West</t>
  </si>
  <si>
    <t xml:space="preserve">Denver</t>
  </si>
  <si>
    <t xml:space="preserve">Alpine / technical relevance</t>
  </si>
  <si>
    <t xml:space="preserve">US_WEST</t>
  </si>
  <si>
    <t xml:space="preserve">Mild West / California</t>
  </si>
  <si>
    <t xml:space="preserve">San Francisco</t>
  </si>
  <si>
    <t xml:space="preserve">Large population, milder winter intensity</t>
  </si>
  <si>
    <t xml:space="preserve">Regional Seasonality</t>
  </si>
  <si>
    <t xml:space="preserve">winter_modifier</t>
  </si>
  <si>
    <t xml:space="preserve">spring_modifier</t>
  </si>
  <si>
    <t xml:space="preserve">summer_modifier</t>
  </si>
  <si>
    <t xml:space="preserve">fall_modifier</t>
  </si>
  <si>
    <t xml:space="preserve">Wet/cool climate slightly extends outerwear season</t>
  </si>
  <si>
    <t xml:space="preserve">Strong winter, compressed shoulder season</t>
  </si>
  <si>
    <t xml:space="preserve">Cold winter, broad shoulder demand</t>
  </si>
  <si>
    <t xml:space="preserve">Cold winter profile</t>
  </si>
  <si>
    <t xml:space="preserve">Mild but wet</t>
  </si>
  <si>
    <t xml:space="preserve">Cold winter / broad season</t>
  </si>
  <si>
    <t xml:space="preserve">Strong winter concentration</t>
  </si>
  <si>
    <t xml:space="preserve">Winter + alpine shoulder demand</t>
  </si>
  <si>
    <t xml:space="preserve">Mild winter; more balanced year</t>
  </si>
  <si>
    <t xml:space="preserve">Channel Mix</t>
  </si>
  <si>
    <t xml:space="preserve">ECOM_share</t>
  </si>
  <si>
    <t xml:space="preserve">RETAIL_share</t>
  </si>
  <si>
    <t xml:space="preserve">WHOLESALE_share</t>
  </si>
  <si>
    <t xml:space="preserve">total_check</t>
  </si>
  <si>
    <t xml:space="preserve">Weather Usage</t>
  </si>
  <si>
    <t xml:space="preserve">Unchanged from v3. Still governing: realized future weather is prohibited at planning horizon.</t>
  </si>
  <si>
    <t xml:space="preserve">use_case</t>
  </si>
  <si>
    <t xml:space="preserve">horizon</t>
  </si>
  <si>
    <t xml:space="preserve">allowed_input</t>
  </si>
  <si>
    <t xml:space="preserve">status</t>
  </si>
  <si>
    <t xml:space="preserve">rule</t>
  </si>
  <si>
    <t xml:space="preserve">Historical normalization</t>
  </si>
  <si>
    <t xml:space="preserve">Historical only</t>
  </si>
  <si>
    <t xml:space="preserve">Observed historical weather</t>
  </si>
  <si>
    <t xml:space="preserve">APPROVED</t>
  </si>
  <si>
    <t xml:space="preserve">Past weather only; never future realized weather</t>
  </si>
  <si>
    <t xml:space="preserve">In-season nowcast</t>
  </si>
  <si>
    <t xml:space="preserve">1–3 weeks</t>
  </si>
  <si>
    <t xml:space="preserve">Operational forecast/current weather</t>
  </si>
  <si>
    <t xml:space="preserve">Measure FVA against non-weather baseline</t>
  </si>
  <si>
    <t xml:space="preserve">IBP scenarios</t>
  </si>
  <si>
    <t xml:space="preserve">3–18 months</t>
  </si>
  <si>
    <t xml:space="preserve">Mild / Normal / Severe scenario</t>
  </si>
  <si>
    <t xml:space="preserve">Scenario lever, not point forecast</t>
  </si>
  <si>
    <t xml:space="preserve">Planning-horizon realized-weather FVA</t>
  </si>
  <si>
    <t xml:space="preserve">~6 months</t>
  </si>
  <si>
    <t xml:space="preserve">Realized future weather</t>
  </si>
  <si>
    <t xml:space="preserve">PROHIBITED</t>
  </si>
  <si>
    <t xml:space="preserve">Look-ahead leakage</t>
  </si>
  <si>
    <t xml:space="preserve">Return Restocking</t>
  </si>
  <si>
    <t xml:space="preserve">Unchanged from v3. Implemented as specified in Step 3C v5.</t>
  </si>
  <si>
    <t xml:space="preserve">channel_id</t>
  </si>
  <si>
    <t xml:space="preserve">gross_return_rate</t>
  </si>
  <si>
    <t xml:space="preserve">sellable_return_share</t>
  </si>
  <si>
    <t xml:space="preserve">restock_delay_weeks</t>
  </si>
  <si>
    <t xml:space="preserve">effective_restock_rate</t>
  </si>
  <si>
    <t xml:space="preserve">ECOM</t>
  </si>
  <si>
    <t xml:space="preserve">Most returned units are inspected and re-enter inventory after delay</t>
  </si>
  <si>
    <t xml:space="preserve">RETAIL</t>
  </si>
  <si>
    <t xml:space="preserve">Higher immediate sellability in stores</t>
  </si>
  <si>
    <t xml:space="preserve">WHOLESALE</t>
  </si>
  <si>
    <t xml:space="preserve">Lower / less frequent restock into owned inventory</t>
  </si>
  <si>
    <t xml:space="preserve">Excess Inventory</t>
  </si>
  <si>
    <t xml:space="preserve">Unchanged from v3. Consumed at Step 3D, which has not yet been rebuilt against v5.</t>
  </si>
  <si>
    <t xml:space="preserve">parameter</t>
  </si>
  <si>
    <t xml:space="preserve">value</t>
  </si>
  <si>
    <t xml:space="preserve">unit</t>
  </si>
  <si>
    <t xml:space="preserve">application</t>
  </si>
  <si>
    <t xml:space="preserve">annual_inventory_carrying_cost_rate</t>
  </si>
  <si>
    <t xml:space="preserve">rate</t>
  </si>
  <si>
    <t xml:space="preserve">Weekly pro-rata exposure on ending inventory value proxy</t>
  </si>
  <si>
    <t xml:space="preserve">age_0_8_weeks_markdown</t>
  </si>
  <si>
    <t xml:space="preserve">Full-price carry period</t>
  </si>
  <si>
    <t xml:space="preserve">age_9_16_weeks_markdown</t>
  </si>
  <si>
    <t xml:space="preserve">Moderate markdown exposure</t>
  </si>
  <si>
    <t xml:space="preserve">age_17_26_weeks_markdown</t>
  </si>
  <si>
    <t xml:space="preserve">Deeper markdown exposure</t>
  </si>
  <si>
    <t xml:space="preserve">age_27_plus_weeks_markdown</t>
  </si>
  <si>
    <t xml:space="preserve">Long-aged carry-over exposure</t>
  </si>
  <si>
    <t xml:space="preserve">season_end_liquidation_discount</t>
  </si>
  <si>
    <t xml:space="preserve">Residual / clearance stress case</t>
  </si>
  <si>
    <t xml:space="preserve">inventory_obsolescence_rate</t>
  </si>
  <si>
    <t xml:space="preserve">Residual write-down risk</t>
  </si>
  <si>
    <t xml:space="preserve">Weather DGP — Step 3B v3.1</t>
  </si>
  <si>
    <t xml:space="preserve">Hidden daily drivers, soft-capped effect, and regional weather provenance.</t>
  </si>
  <si>
    <t xml:space="preserve">group</t>
  </si>
  <si>
    <t xml:space="preserve">used_in</t>
  </si>
  <si>
    <t xml:space="preserve">v3.1_change</t>
  </si>
  <si>
    <t xml:space="preserve">rationale</t>
  </si>
  <si>
    <t xml:space="preserve">Transformation</t>
  </si>
  <si>
    <t xml:space="preserve">cap_type</t>
  </si>
  <si>
    <t xml:space="preserve">SOFT_TANH</t>
  </si>
  <si>
    <t xml:space="preserve">text</t>
  </si>
  <si>
    <t xml:space="preserve">Step 3B v3.1</t>
  </si>
  <si>
    <t xml:space="preserve">CHANGED</t>
  </si>
  <si>
    <t xml:space="preserve">weather_effect_pct = cap × tanh(sensitivity × z / cap). Replaces the v3 hard clip, which pinned 17.9% of weather rows on the boundary and made the effect a step function at the extremes.</t>
  </si>
  <si>
    <t xml:space="preserve">weather_cap</t>
  </si>
  <si>
    <t xml:space="preserve">absolute pct</t>
  </si>
  <si>
    <t xml:space="preserve">Asymptotic bound on |weather_effect_pct|. Never actually reached.</t>
  </si>
  <si>
    <t xml:space="preserve">Sensitivity</t>
  </si>
  <si>
    <t xml:space="preserve">sensitivity_CTS-001</t>
  </si>
  <si>
    <t xml:space="preserve">effect per z unit</t>
  </si>
  <si>
    <t xml:space="preserve">Raised from 0.200. The soft cap compresses the tails, so sensitivity was re-tuned to hold the variance contribution inside the 3–5% band.</t>
  </si>
  <si>
    <t xml:space="preserve">sensitivity_IMH-001</t>
  </si>
  <si>
    <t xml:space="preserve">Raised from 0.200.</t>
  </si>
  <si>
    <t xml:space="preserve">sensitivity_APS-001</t>
  </si>
  <si>
    <t xml:space="preserve">Raised from 0.250. APS-001 is the most weather-exposed archetype (alpine shell).</t>
  </si>
  <si>
    <t xml:space="preserve">Composite</t>
  </si>
  <si>
    <t xml:space="preserve">audit_hidden_weather_z</t>
  </si>
  <si>
    <t xml:space="preserve">per-SKU weighted composite of hidden daily drivers, expressed as a seasonal anomaly standardised within region × week-of-year</t>
  </si>
  <si>
    <t xml:space="preserve">z score</t>
  </si>
  <si>
    <t xml:space="preserve">DERIVED</t>
  </si>
  <si>
    <t xml:space="preserve">Zero when drivers sit at their regional seasonal norm, which is why summer weeks score z = 0. Drives weather_effect_pct through the soft cap.</t>
  </si>
  <si>
    <t xml:space="preserve">Hidden driver</t>
  </si>
  <si>
    <t xml:space="preserve">cold_run_days</t>
  </si>
  <si>
    <t xml:space="preserve">longest within-week run of days with mean temperature strictly below 5 °C</t>
  </si>
  <si>
    <t xml:space="preserve">days</t>
  </si>
  <si>
    <t xml:space="preserve">DERIVED from PUBLIC ERA5</t>
  </si>
  <si>
    <t xml:space="preserve">Persistence matters more than a single cold day for outerwear purchase behaviour.</t>
  </si>
  <si>
    <t xml:space="preserve">wet_cold_degree</t>
  </si>
  <si>
    <t xml:space="preserve">Σ over days with rain ≥ 1.0 mm of max(0, 8 − daily mean temp)</t>
  </si>
  <si>
    <t xml:space="preserve">degree-days</t>
  </si>
  <si>
    <t xml:space="preserve">Wet-cold degree accumulation on an 8 °C base. Targets the shell use case.</t>
  </si>
  <si>
    <t xml:space="preserve">rain_wind_event_days</t>
  </si>
  <si>
    <t xml:space="preserve">count of days with rain ≥ 5 mm AND max wind ≥ 35 km/h</t>
  </si>
  <si>
    <t xml:space="preserve">Storm-event proxy; drives hardshell rather than insulation demand.</t>
  </si>
  <si>
    <t xml:space="preserve">heating_degree_10</t>
  </si>
  <si>
    <t xml:space="preserve">Σ over week of max(0, 10 − daily mean temp)</t>
  </si>
  <si>
    <t xml:space="preserve">Broad cold-season intensity measure.</t>
  </si>
  <si>
    <t xml:space="preserve">heating_degree_5</t>
  </si>
  <si>
    <t xml:space="preserve">Σ over week of max(0, 5 − daily mean temp)</t>
  </si>
  <si>
    <t xml:space="preserve">Sharper cold measure; separates genuinely cold weeks from merely cool ones.</t>
  </si>
  <si>
    <t xml:space="preserve">wet_cold_run_days</t>
  </si>
  <si>
    <t xml:space="preserve">longest within-week run of days with mean temp strictly below 5 °C AND rain ≥ 1.0 mm</t>
  </si>
  <si>
    <t xml:space="preserve">Persistent wet-cold spell, the classic technical-shell trigger.</t>
  </si>
  <si>
    <t xml:space="preserve">snow_persistence_days</t>
  </si>
  <si>
    <t xml:space="preserve">longest within-week run of days with snowfall ≥ 0.5 cm</t>
  </si>
  <si>
    <t xml:space="preserve">Snow persistence rather than a single-day total.</t>
  </si>
  <si>
    <t xml:space="preserve">audit_hidden_* usage</t>
  </si>
  <si>
    <t xml:space="preserve">AUDIT ONLY — must NOT be used as Step 4 model inputs</t>
  </si>
  <si>
    <t xml:space="preserve">GOVERNANCE</t>
  </si>
  <si>
    <t xml:space="preserve">Step 4</t>
  </si>
  <si>
    <t xml:space="preserve">These columns exist so the generator can be audited and so the circularity guard can be measured. Feeding them to a forecast model would recover the DGP by construction and invalidate every accuracy result.</t>
  </si>
  <si>
    <t xml:space="preserve">planning_horizon_realized_weather</t>
  </si>
  <si>
    <t xml:space="preserve">Step 4C</t>
  </si>
  <si>
    <t xml:space="preserve">Realized future weather may never be used as a long-horizon forecast input. You cannot know November's weather when the FW buy is committed in March; using it is look-ahead leakage. Approved uses are listed on Weather_Usage.</t>
  </si>
  <si>
    <t xml:space="preserve">Model-visible set</t>
  </si>
  <si>
    <t xml:space="preserve">allowed_weather_features</t>
  </si>
  <si>
    <t xml:space="preserve">weather_features_weekly.csv only (levels, anomalies, interactions, lags, 4-week rollings)</t>
  </si>
  <si>
    <t xml:space="preserve">Hidden drivers are daily-derived and deliberately absent from this table, which is what keeps the effect only partially recoverable.</t>
  </si>
  <si>
    <t xml:space="preserve">Provenance</t>
  </si>
  <si>
    <t xml:space="preserve">weather_source_8_regions</t>
  </si>
  <si>
    <t xml:space="preserve">Open-Meteo Historical Weather API (ERA5 reanalysis)</t>
  </si>
  <si>
    <t xml:space="preserve">PUBLIC / OBSERVED-REANALYSIS</t>
  </si>
  <si>
    <t xml:space="preserve">Step 2 / 3B</t>
  </si>
  <si>
    <t xml:space="preserve">CA_PNW, CA_PRAIRIE, CA_ON, CA_QC, US_PNW, US_NE, US_MTN, US_WEST.</t>
  </si>
  <si>
    <t xml:space="preserve">US_MIDWEST_provenance</t>
  </si>
  <si>
    <t xml:space="preserve">SYNTHETIC_PROXY_BLEND_CHICAGO_PENDING_ERA5</t>
  </si>
  <si>
    <t xml:space="preserve">SYNTHETIC PROXY</t>
  </si>
  <si>
    <t xml:space="preserve">NOT observed Chicago ERA5. The current 3B v3.1 file does not contain a real Chicago pull.</t>
  </si>
  <si>
    <t xml:space="preserve">US_MIDWEST_blend_Toronto</t>
  </si>
  <si>
    <t xml:space="preserve">share</t>
  </si>
  <si>
    <t xml:space="preserve">CA_ON daily series weight in the blend.</t>
  </si>
  <si>
    <t xml:space="preserve">US_MIDWEST_blend_Montreal</t>
  </si>
  <si>
    <t xml:space="preserve">CA_QC daily series weight in the blend.</t>
  </si>
  <si>
    <t xml:space="preserve">US_MIDWEST_temp_adjustment</t>
  </si>
  <si>
    <t xml:space="preserve">°C</t>
  </si>
  <si>
    <t xml:space="preserve">Chicago runs milder than Montreal and marginally milder than Toronto in winter.</t>
  </si>
  <si>
    <t xml:space="preserve">US_MIDWEST_snow_scale</t>
  </si>
  <si>
    <t xml:space="preserve">multiplier</t>
  </si>
  <si>
    <t xml:space="preserve">Less lake-effect accumulation than the Ontario proxy.</t>
  </si>
  <si>
    <t xml:space="preserve">US_MIDWEST_rain_scale</t>
  </si>
  <si>
    <t xml:space="preserve">US_MIDWEST_wind_scale</t>
  </si>
  <si>
    <t xml:space="preserve">KNOWN LIMITATION</t>
  </si>
  <si>
    <t xml:space="preserve">Midwest weather is a synthetic proxy used to preserve regional completeness. This remains a known limitation and should be replaced with observed Chicago ERA5 in a production implementation.</t>
  </si>
  <si>
    <t xml:space="preserve">GENERATED ACTUALS (measured from Step 3B v3.1 — not inputs)</t>
  </si>
  <si>
    <t xml:space="preserve">measure</t>
  </si>
  <si>
    <t xml:space="preserve">generated actual</t>
  </si>
  <si>
    <t xml:space="preserve">target band</t>
  </si>
  <si>
    <t xml:space="preserve">weather effect saturated at cap</t>
  </si>
  <si>
    <t xml:space="preserve">0.73%</t>
  </si>
  <si>
    <t xml:space="preserve">&lt;5%</t>
  </si>
  <si>
    <t xml:space="preserve">weather variance share CTS-001</t>
  </si>
  <si>
    <t xml:space="preserve">3.61%</t>
  </si>
  <si>
    <t xml:space="preserve">3–5%</t>
  </si>
  <si>
    <t xml:space="preserve">weather variance share IMH-001</t>
  </si>
  <si>
    <t xml:space="preserve">3.64%</t>
  </si>
  <si>
    <t xml:space="preserve">weather variance share APS-001</t>
  </si>
  <si>
    <t xml:space="preserve">3.01%</t>
  </si>
  <si>
    <t xml:space="preserve">allowed-feature recovery R² CTS-001</t>
  </si>
  <si>
    <t xml:space="preserve">0.40–0.60</t>
  </si>
  <si>
    <t xml:space="preserve">allowed-feature recovery R² IMH-001</t>
  </si>
  <si>
    <t xml:space="preserve">allowed-feature recovery R² APS-001</t>
  </si>
  <si>
    <t xml:space="preserve">Seasonal Buy — Step 3C v5</t>
  </si>
  <si>
    <t xml:space="preserve">Forward-coverage receipt planning, peak replenishment throttle, and chase lever.</t>
  </si>
  <si>
    <t xml:space="preserve">Planning basis</t>
  </si>
  <si>
    <t xml:space="preserve">buy_plan_basis</t>
  </si>
  <si>
    <t xml:space="preserve">prior_plan_year_observed_sales</t>
  </si>
  <si>
    <t xml:space="preserve">Receipts are planned from prior plan-year CENSORED observed sales only, smoothed over 3 weeks and grown by the planner assumption. No line in the generator reads current-week true demand.</t>
  </si>
  <si>
    <t xml:space="preserve">profile_smoothing_weeks</t>
  </si>
  <si>
    <t xml:space="preserve">weeks</t>
  </si>
  <si>
    <t xml:space="preserve">Planners buy off a smoothed prior-year profile, not a single noisy week.</t>
  </si>
  <si>
    <t xml:space="preserve">planner_growth_mean</t>
  </si>
  <si>
    <t xml:space="preserve">Assumed YoY growth applied to the prior-year profile.</t>
  </si>
  <si>
    <t xml:space="preserve">planner_growth_sd</t>
  </si>
  <si>
    <t xml:space="preserve">Planner optimism / pessimism dispersion, bounded [−0.10, +0.18].</t>
  </si>
  <si>
    <t xml:space="preserve">lead_time_weeks</t>
  </si>
  <si>
    <t xml:space="preserve">Pre-season commitment horizon. This is why routine replenishment cannot rescue peak.</t>
  </si>
  <si>
    <t xml:space="preserve">Receipt logic</t>
  </si>
  <si>
    <t xml:space="preserve">receipt_method</t>
  </si>
  <si>
    <t xml:space="preserve">forward coverage / weeks-of-supply</t>
  </si>
  <si>
    <t xml:space="preserve">receipt = max(0, forecast demand to next drop + WOS buffer × forecast weekly demand at next drop − projected on-hand) × buy_factor. Replaces the v4 fixed annual buy-split.</t>
  </si>
  <si>
    <t xml:space="preserve">drop_1_JUL_OPENING</t>
  </si>
  <si>
    <t xml:space="preserve">plan week 1, covers to week 5, buffer 2.0 WOS</t>
  </si>
  <si>
    <t xml:space="preserve">Light opening receipt. v4 had no July receipt, which collapsed July fill to 47%.</t>
  </si>
  <si>
    <t xml:space="preserve">drop_2_AUG_PRESEASON</t>
  </si>
  <si>
    <t xml:space="preserve">plan week 5, covers to week 10, buffer 1.8 WOS</t>
  </si>
  <si>
    <t xml:space="preserve">Main pre-season window.</t>
  </si>
  <si>
    <t xml:space="preserve">drop_3_SEP_BUILD</t>
  </si>
  <si>
    <t xml:space="preserve">plan week 10, covers to week 14, buffer 1.5 WOS</t>
  </si>
  <si>
    <t xml:space="preserve">drop_4_OCT_PEAK</t>
  </si>
  <si>
    <t xml:space="preserve">plan week 14, covers to week 24 + per-cell extension</t>
  </si>
  <si>
    <t xml:space="preserve">Carries the peak block.</t>
  </si>
  <si>
    <t xml:space="preserve">oct_split_delivery_tranches</t>
  </si>
  <si>
    <t xml:space="preserve">weeks 14 / 18 / 22 at 45% / 35% / 20%</t>
  </si>
  <si>
    <t xml:space="preserve">One October COMMITMENT delivered on a split-delivery PO. Without phasing, the whole peak block lands in week 14, inventory simply drains, and every shortage falls at the END of the block regardless of where demand actually outran plan.</t>
  </si>
  <si>
    <t xml:space="preserve">coverage_extension_weeks</t>
  </si>
  <si>
    <t xml:space="preserve">0–5 (integer draw per cell-year)</t>
  </si>
  <si>
    <t xml:space="preserve">Planners do not apply one identical coverage rule to every style × region × channel. Without this dispersion every cell drains in step and all stockouts land in the same week.</t>
  </si>
  <si>
    <t xml:space="preserve">oct_buffer_distribution</t>
  </si>
  <si>
    <t xml:space="preserve">N(0.7, 1.1) clipped [0.0, 4.5]</t>
  </si>
  <si>
    <t xml:space="preserve">WOS</t>
  </si>
  <si>
    <t xml:space="preserve">Per-cell October coverage buffer draw.</t>
  </si>
  <si>
    <t xml:space="preserve">BUY_FACTOR_MEAN</t>
  </si>
  <si>
    <t xml:space="preserve">x</t>
  </si>
  <si>
    <t xml:space="preserve">Mild systematic tightness, defensible for a capacity-constrained premium brand. Moved from 1.00 to bring portfolio fill into the 91–93% band.</t>
  </si>
  <si>
    <t xml:space="preserve">BUY_FACTOR_SD</t>
  </si>
  <si>
    <t xml:space="preserve">Bounded [0.72, 1.24]. Roughly 45% of cell-years under-buy, which is the primary source of peak shortage.</t>
  </si>
  <si>
    <t xml:space="preserve">Replenishment</t>
  </si>
  <si>
    <t xml:space="preserve">replen_start_week</t>
  </si>
  <si>
    <t xml:space="preserve">plan week</t>
  </si>
  <si>
    <t xml:space="preserve">~late November. Routine replenishment is restricted before this.</t>
  </si>
  <si>
    <t xml:space="preserve">replen_cadence_weeks</t>
  </si>
  <si>
    <t xml:space="preserve">Review period.</t>
  </si>
  <si>
    <t xml:space="preserve">replen_lead_weeks</t>
  </si>
  <si>
    <t xml:space="preserve">Domestic / DC transfer lead time — not the 22-week overseas lead.</t>
  </si>
  <si>
    <t xml:space="preserve">replen_coverage_trigger_wos</t>
  </si>
  <si>
    <t xml:space="preserve">Order only if projected cover is thinner than this.</t>
  </si>
  <si>
    <t xml:space="preserve">replen_target_wos</t>
  </si>
  <si>
    <t xml:space="preserve">Order-up-to level: review period + lead time + safety.</t>
  </si>
  <si>
    <t xml:space="preserve">peak_throttle_cap_per_event</t>
  </si>
  <si>
    <t xml:space="preserve">share of commitment</t>
  </si>
  <si>
    <t xml:space="preserve">PEAK THROTTLE. Inside Oct–Jan, a 22-week overseas lead time means routine replenishment is effectively unavailable and chase is the only in-season lever. This single parameter is what finally produced genuine peak scarcity.</t>
  </si>
  <si>
    <t xml:space="preserve">replen_cap_per_event_offpeak</t>
  </si>
  <si>
    <t xml:space="preserve">Outside the peak block. At low-season velocity this covers roughly 4–5 weeks of demand, so the tail recovers.</t>
  </si>
  <si>
    <t xml:space="preserve">peak_block_weeks</t>
  </si>
  <si>
    <t xml:space="preserve">plan weeks 14–24 (Oct → mid-Jan)</t>
  </si>
  <si>
    <t xml:space="preserve">range</t>
  </si>
  <si>
    <t xml:space="preserve">Window over which the throttle applies.</t>
  </si>
  <si>
    <t xml:space="preserve">replen_cap_cumulative</t>
  </si>
  <si>
    <t xml:space="preserve">Ceiling on total replenishment across the plan year.</t>
  </si>
  <si>
    <t xml:space="preserve">Chase</t>
  </si>
  <si>
    <t xml:space="preserve">chase_trigger</t>
  </si>
  <si>
    <t xml:space="preserve">Fires when trailing 4-week SHIPPED exceeds trailing 4-week plan by ≥15%. Deliberately reads shipped, not true demand: a cell already stocked out cannot signal for chase, which is a real and expensive planning failure mode.</t>
  </si>
  <si>
    <t xml:space="preserve">chase_capacity_share</t>
  </si>
  <si>
    <t xml:space="preserve">Hard cap on chase per SKU × region × channel × plan year.</t>
  </si>
  <si>
    <t xml:space="preserve">chase_lead_weeks</t>
  </si>
  <si>
    <t xml:space="preserve">Air-expedited on pre-positioned fabric. A November trigger lands in late January — often too late, which is itself a finding.</t>
  </si>
  <si>
    <t xml:space="preserve">chase_evaluation_window</t>
  </si>
  <si>
    <t xml:space="preserve">plan weeks 8–26</t>
  </si>
  <si>
    <t xml:space="preserve">Chase may only be triggered inside this window.</t>
  </si>
  <si>
    <t xml:space="preserve">chase_order_weeks</t>
  </si>
  <si>
    <t xml:space="preserve">Order quantity = 4 × the weekly excess run-rate, capped by remaining capacity.</t>
  </si>
  <si>
    <t xml:space="preserve">Observability</t>
  </si>
  <si>
    <t xml:space="preserve">in_stock_days</t>
  </si>
  <si>
    <t xml:space="preserve">0–7 per week, from daily depletion</t>
  </si>
  <si>
    <t xml:space="preserve">The ONLY availability signal exposed to later steps. Availability-to-demand ratios are never exposed, which is what keeps demand cleansing a genuine recovery problem.</t>
  </si>
  <si>
    <t xml:space="preserve">stockout_flag</t>
  </si>
  <si>
    <t xml:space="preserve">in_stock_days = 0</t>
  </si>
  <si>
    <t xml:space="preserve">Full stockout week.</t>
  </si>
  <si>
    <t xml:space="preserve">constrained_flag</t>
  </si>
  <si>
    <t xml:space="preserve">1 ≤ in_stock_days ≤ 6</t>
  </si>
  <si>
    <t xml:space="preserve">Partially constrained week. Mutually exclusive with stockout_flag.</t>
  </si>
  <si>
    <t xml:space="preserve">Service</t>
  </si>
  <si>
    <t xml:space="preserve">target_fill_rate</t>
  </si>
  <si>
    <t xml:space="preserve">Calibration target, not an exact forced result.</t>
  </si>
  <si>
    <t xml:space="preserve">GOVERNING STATEMENT</t>
  </si>
  <si>
    <t xml:space="preserve">Chase is a simulated planner lever, not an automatic unlimited replenishment mechanism.</t>
  </si>
  <si>
    <t xml:space="preserve">GENERATED ACTUALS (measured from Step 3C v5 — not inputs)</t>
  </si>
  <si>
    <t xml:space="preserve">seasonal receipt units</t>
  </si>
  <si>
    <t xml:space="preserve">354,621</t>
  </si>
  <si>
    <t xml:space="preserve">replenishment receipt units</t>
  </si>
  <si>
    <t xml:space="preserve">334,538</t>
  </si>
  <si>
    <t xml:space="preserve">chase units ordered</t>
  </si>
  <si>
    <t xml:space="preserve">36,933</t>
  </si>
  <si>
    <t xml:space="preserve">rows triggering chase</t>
  </si>
  <si>
    <t xml:space="preserve">1,045</t>
  </si>
  <si>
    <t xml:space="preserve">series using chase</t>
  </si>
  <si>
    <t xml:space="preserve">81 of 81</t>
  </si>
  <si>
    <t xml:space="preserve">chase used as share of commitment</t>
  </si>
  <si>
    <t xml:space="preserve">4.85% (cap 8%)</t>
  </si>
  <si>
    <t xml:space="preserve">sellable returns restocked</t>
  </si>
  <si>
    <t xml:space="preserve">32,022</t>
  </si>
  <si>
    <t xml:space="preserve">non-sellable returns</t>
  </si>
  <si>
    <t xml:space="preserve">6,594</t>
  </si>
  <si>
    <t xml:space="preserve">QA Framework — target vs generated actual</t>
  </si>
  <si>
    <t xml:space="preserve">Status is a live formula comparing the generated actual against the target band. Actuals are measured from Step 3B v3.1 and Step 3C v5.</t>
  </si>
  <si>
    <t xml:space="preserve">metric</t>
  </si>
  <si>
    <t xml:space="preserve">target_min</t>
  </si>
  <si>
    <t xml:space="preserve">target_max</t>
  </si>
  <si>
    <t xml:space="preserve">generated_actual</t>
  </si>
  <si>
    <t xml:space="preserve">source</t>
  </si>
  <si>
    <t xml:space="preserve">Portfolio fill rate</t>
  </si>
  <si>
    <t xml:space="preserve">%</t>
  </si>
  <si>
    <t xml:space="preserve">Step 3C v5</t>
  </si>
  <si>
    <t xml:space="preserve">Oct–Jan fill rate</t>
  </si>
  <si>
    <t xml:space="preserve">Peak scarcity now driven by forecast error, not calendar exhaustion</t>
  </si>
  <si>
    <t xml:space="preserve">Apr–Jun fill rate</t>
  </si>
  <si>
    <t xml:space="preserve">July fill rate (must not collapse)</t>
  </si>
  <si>
    <t xml:space="preserve">v4 collapsed to 47.0%</t>
  </si>
  <si>
    <t xml:space="preserve">Censoring</t>
  </si>
  <si>
    <t xml:space="preserve">Sep–Jan share of lost demand</t>
  </si>
  <si>
    <t xml:space="preserve">Full stockout rows</t>
  </si>
  <si>
    <t xml:space="preserve">% of rows</t>
  </si>
  <si>
    <t xml:space="preserve">677 rows at in_stock_days = 0</t>
  </si>
  <si>
    <t xml:space="preserve">Partially constrained rows</t>
  </si>
  <si>
    <t xml:space="preserve">1,235 rows at 1–6 in-stock days</t>
  </si>
  <si>
    <t xml:space="preserve">Stockout rate Nov–Jan</t>
  </si>
  <si>
    <t xml:space="preserve">Meaningful full stockouts during peak</t>
  </si>
  <si>
    <t xml:space="preserve">Supply</t>
  </si>
  <si>
    <t xml:space="preserve">Chase used units</t>
  </si>
  <si>
    <t xml:space="preserve">units</t>
  </si>
  <si>
    <t xml:space="preserve">1,045 rows, 81/81 series, 4.85% of an 8% cap</t>
  </si>
  <si>
    <t xml:space="preserve">Ending inventory at final week</t>
  </si>
  <si>
    <t xml:space="preserve">Aged stock available for Step 3D excess bands</t>
  </si>
  <si>
    <t xml:space="preserve">Sellable returns restocked</t>
  </si>
  <si>
    <t xml:space="preserve">Integrity</t>
  </si>
  <si>
    <t xml:space="preserve">corr(beginning inventory, true demand)</t>
  </si>
  <si>
    <t xml:space="preserve">correlation</t>
  </si>
  <si>
    <t xml:space="preserve">Inventory must not be a function of current-week demand</t>
  </si>
  <si>
    <t xml:space="preserve">Weather</t>
  </si>
  <si>
    <t xml:space="preserve">Weather saturation at cap</t>
  </si>
  <si>
    <t xml:space="preserve">Soft tanh cap; v3 hard clip pinned 17.9%</t>
  </si>
  <si>
    <t xml:space="preserve">Weather variance share CTS-001</t>
  </si>
  <si>
    <t xml:space="preserve">Weather variance share IMH-001</t>
  </si>
  <si>
    <t xml:space="preserve">Weather variance share APS-001</t>
  </si>
  <si>
    <t xml:space="preserve">Allowed-feature weather R² CTS-001</t>
  </si>
  <si>
    <t xml:space="preserve">R²</t>
  </si>
  <si>
    <t xml:space="preserve">Circularity guard</t>
  </si>
  <si>
    <t xml:space="preserve">Allowed-feature weather R² IMH-001</t>
  </si>
  <si>
    <t xml:space="preserve">Allowed-feature weather R² APS-001</t>
  </si>
  <si>
    <t xml:space="preserve">Growth</t>
  </si>
  <si>
    <t xml:space="preserve">CTS structural growth</t>
  </si>
  <si>
    <t xml:space="preserve">Unchanged by the weather correction</t>
  </si>
  <si>
    <t xml:space="preserve">IMH structural growth</t>
  </si>
  <si>
    <t xml:space="preserve">APS structural growth</t>
  </si>
  <si>
    <t xml:space="preserve">Mix</t>
  </si>
  <si>
    <t xml:space="preserve">Canada unit share</t>
  </si>
  <si>
    <t xml:space="preserve">US unit share</t>
  </si>
  <si>
    <t xml:space="preserve">Realism</t>
  </si>
  <si>
    <t xml:space="preserve">Zero-demand rows</t>
  </si>
  <si>
    <t xml:space="preserve">1,538 rows</t>
  </si>
  <si>
    <t xml:space="preserve">DIAGNOSTIC — monthly service pattern (not a failure)</t>
  </si>
  <si>
    <t xml:space="preserve">month</t>
  </si>
  <si>
    <t xml:space="preserve">fill rate %</t>
  </si>
  <si>
    <t xml:space="preserve">share of lost demand %</t>
  </si>
  <si>
    <t xml:space="preserve">Jul</t>
  </si>
  <si>
    <t xml:space="preserve">Aug</t>
  </si>
  <si>
    <t xml:space="preserve">Sep</t>
  </si>
  <si>
    <t xml:space="preserve">Oct</t>
  </si>
  <si>
    <t xml:space="preserve">Nov</t>
  </si>
  <si>
    <t xml:space="preserve">Dec</t>
  </si>
  <si>
    <t xml:space="preserve">Jan</t>
  </si>
  <si>
    <t xml:space="preserve">Feb</t>
  </si>
  <si>
    <t xml:space="preserve">Mar</t>
  </si>
  <si>
    <t xml:space="preserve">Apr</t>
  </si>
  <si>
    <t xml:space="preserve">May</t>
  </si>
  <si>
    <t xml:space="preserve">Jun</t>
  </si>
  <si>
    <t xml:space="preserve">The aggregate peak-season service target is met, but shortages remain concentrated in December–January rather than evenly distributed across the full peak window. This is retained as a documented simulation limitation rather than further tuned away.</t>
  </si>
  <si>
    <t xml:space="preserve">Assumption Register — v3.1</t>
  </si>
  <si>
    <t xml:space="preserve">Every parameter with provenance, sensitivity and the step it feeds. Rows marked NEW in v3.1 were added or changed for Step 3B v3.1 / Step 3C v5.</t>
  </si>
  <si>
    <t xml:space="preserve">sensitivity</t>
  </si>
  <si>
    <t xml:space="preserve">downstream_step</t>
  </si>
  <si>
    <t xml:space="preserve">plan_year_definition</t>
  </si>
  <si>
    <t xml:space="preserve">Low — definitional</t>
  </si>
  <si>
    <t xml:space="preserve">Step 3B v3</t>
  </si>
  <si>
    <t xml:space="preserve">Aligns structural growth to planning year</t>
  </si>
  <si>
    <t xml:space="preserve">CARRIED FORWARD</t>
  </si>
  <si>
    <t xml:space="preserve">target_variance_share</t>
  </si>
  <si>
    <t xml:space="preserve">Medium — sets weather influence</t>
  </si>
  <si>
    <t xml:space="preserve">Keeps weather meaningful but secondary</t>
  </si>
  <si>
    <t xml:space="preserve">hidden_driver_source</t>
  </si>
  <si>
    <t xml:space="preserve">daily-derived thresholds/persistence</t>
  </si>
  <si>
    <t xml:space="preserve">PUBLIC→DERIVED</t>
  </si>
  <si>
    <t xml:space="preserve">High — governs circularity</t>
  </si>
  <si>
    <t xml:space="preserve">Avoid direct invertibility from weekly feature table</t>
  </si>
  <si>
    <t xml:space="preserve">receipt_pattern</t>
  </si>
  <si>
    <t xml:space="preserve">40% Aug / 35% Sep / 25% Oct</t>
  </si>
  <si>
    <t xml:space="preserve">High — superseded in v5</t>
  </si>
  <si>
    <t xml:space="preserve">Step 3C v4</t>
  </si>
  <si>
    <t xml:space="preserve">Seasonal buy instead of continuous replenishment</t>
  </si>
  <si>
    <t xml:space="preserve">SUPERSEDED by v5 forward coverage</t>
  </si>
  <si>
    <t xml:space="preserve">normal_replenishment_cutoff</t>
  </si>
  <si>
    <t xml:space="preserve">Nov 1</t>
  </si>
  <si>
    <t xml:space="preserve">date rule</t>
  </si>
  <si>
    <t xml:space="preserve">Allows genuine residual inventory aging</t>
  </si>
  <si>
    <t xml:space="preserve">SUPERSEDED by v5 peak throttle</t>
  </si>
  <si>
    <t xml:space="preserve">Medium — superseded in v5</t>
  </si>
  <si>
    <t xml:space="preserve">IBP later</t>
  </si>
  <si>
    <t xml:space="preserve">Separate optional lever</t>
  </si>
  <si>
    <t xml:space="preserve">REVISED in v5 (now an active lever)</t>
  </si>
  <si>
    <t xml:space="preserve">Returns</t>
  </si>
  <si>
    <t xml:space="preserve">ECOM_sellable_restock_share</t>
  </si>
  <si>
    <t xml:space="preserve">Low</t>
  </si>
  <si>
    <t xml:space="preserve">Step 3C/3D</t>
  </si>
  <si>
    <t xml:space="preserve">Returned units can re-enter inventory</t>
  </si>
  <si>
    <t xml:space="preserve">RETAIL_sellable_restock_share</t>
  </si>
  <si>
    <t xml:space="preserve">WHOLESALE_sellable_restock_share</t>
  </si>
  <si>
    <t xml:space="preserve">Limited restock</t>
  </si>
  <si>
    <t xml:space="preserve">Excess</t>
  </si>
  <si>
    <t xml:space="preserve">carrying_cost_rate</t>
  </si>
  <si>
    <t xml:space="preserve">annual rate</t>
  </si>
  <si>
    <t xml:space="preserve">Medium — over-buy cost</t>
  </si>
  <si>
    <t xml:space="preserve">Step 3D v3</t>
  </si>
  <si>
    <t xml:space="preserve">Over-buy cost</t>
  </si>
  <si>
    <t xml:space="preserve">liquidation_discount</t>
  </si>
  <si>
    <t xml:space="preserve">Season-end residual risk</t>
  </si>
  <si>
    <t xml:space="preserve">weather_cap_type</t>
  </si>
  <si>
    <t xml:space="preserve">High — removes boundary pinning</t>
  </si>
  <si>
    <t xml:space="preserve">Hard clip pinned 17.9% of rows at the cap, making the effect a step function at the extremes</t>
  </si>
  <si>
    <t xml:space="preserve">NEW in v3.1</t>
  </si>
  <si>
    <t xml:space="preserve">Medium</t>
  </si>
  <si>
    <t xml:space="preserve">Asymptotic bound, never reached</t>
  </si>
  <si>
    <t xml:space="preserve">effect per z</t>
  </si>
  <si>
    <t xml:space="preserve">Re-tuned upward to hold 3–5% variance share after soft capping</t>
  </si>
  <si>
    <t xml:space="preserve">Most weather-exposed archetype</t>
  </si>
  <si>
    <t xml:space="preserve">longest within-week run, mean temp &lt; 5 °C (strict)</t>
  </si>
  <si>
    <t xml:space="preserve">High — hidden driver</t>
  </si>
  <si>
    <t xml:space="preserve">Persistence beats single-day cold for outerwear demand</t>
  </si>
  <si>
    <t xml:space="preserve">Σ over rain ≥ 1.0 mm days of max(0, 8 − mean temp)</t>
  </si>
  <si>
    <t xml:space="preserve">Wet-cold accumulation on an 8 °C base</t>
  </si>
  <si>
    <t xml:space="preserve">days with rain ≥ 5 mm AND wind ≥ 35 km/h</t>
  </si>
  <si>
    <t xml:space="preserve">Medium — hidden driver</t>
  </si>
  <si>
    <t xml:space="preserve">Storm-event proxy</t>
  </si>
  <si>
    <t xml:space="preserve">Σ max(0, 10 − mean temp)</t>
  </si>
  <si>
    <t xml:space="preserve">Broad cold intensity</t>
  </si>
  <si>
    <t xml:space="preserve">Σ max(0, 5 − mean temp)</t>
  </si>
  <si>
    <t xml:space="preserve">Sharper cold measure</t>
  </si>
  <si>
    <t xml:space="preserve">longest run, mean temp &lt; 5 °C AND rain ≥ 1.0 mm</t>
  </si>
  <si>
    <t xml:space="preserve">Persistent wet-cold spell</t>
  </si>
  <si>
    <t xml:space="preserve">longest run, snowfall ≥ 0.5 cm</t>
  </si>
  <si>
    <t xml:space="preserve">Snow persistence, not daily total</t>
  </si>
  <si>
    <t xml:space="preserve">audit_hidden_*_usage</t>
  </si>
  <si>
    <t xml:space="preserve">AUDIT ONLY — prohibited as Step 4 model input</t>
  </si>
  <si>
    <t xml:space="preserve">Critical — invalidates results if breached</t>
  </si>
  <si>
    <t xml:space="preserve">Feeding hidden drivers to a model recovers the DGP by construction</t>
  </si>
  <si>
    <t xml:space="preserve">Medium — affects 1 of 9 regions</t>
  </si>
  <si>
    <t xml:space="preserve">Chicago ERA5 not yet pulled; blend 0.70 Toronto + 0.30 Montreal, +1.2 °C, snow ×0.80, rain ×0.92, wind ×1.06</t>
  </si>
  <si>
    <t xml:space="preserve">Critical — sets stockout timing</t>
  </si>
  <si>
    <t xml:space="preserve">Replaces the fixed annual buy-split that put shortages in the wrong months</t>
  </si>
  <si>
    <t xml:space="preserve">High — prevents July collapse</t>
  </si>
  <si>
    <t xml:space="preserve">v4 had no July receipt; July filled at 47%</t>
  </si>
  <si>
    <t xml:space="preserve">drop_schedule</t>
  </si>
  <si>
    <t xml:space="preserve">Jul wk1 / Aug wk5 / Sep wk10 / Oct wk14</t>
  </si>
  <si>
    <t xml:space="preserve">plan weeks</t>
  </si>
  <si>
    <t xml:space="preserve">High</t>
  </si>
  <si>
    <t xml:space="preserve">Four commitments per plan year</t>
  </si>
  <si>
    <t xml:space="preserve">High — spreads run-out timing</t>
  </si>
  <si>
    <t xml:space="preserve">Without phasing, all shortage falls at the end of the October block</t>
  </si>
  <si>
    <t xml:space="preserve">0–5 integer draw per cell-year</t>
  </si>
  <si>
    <t xml:space="preserve">High — creates cross-cell dispersion</t>
  </si>
  <si>
    <t xml:space="preserve">Planners do not apply one coverage rule to every cell</t>
  </si>
  <si>
    <t xml:space="preserve">High — sets peak fill level</t>
  </si>
  <si>
    <t xml:space="preserve">Per-cell October coverage buffer</t>
  </si>
  <si>
    <t xml:space="preserve">High — sets portfolio fill</t>
  </si>
  <si>
    <t xml:space="preserve">Mild systematic tightness; moved from 1.00 to hit the 91–93% band</t>
  </si>
  <si>
    <t xml:space="preserve">High — primary shortage source</t>
  </si>
  <si>
    <t xml:space="preserve">~45% of cell-years under-buy</t>
  </si>
  <si>
    <t xml:space="preserve">Critical — the parameter that created peak scarcity</t>
  </si>
  <si>
    <t xml:space="preserve">22-week lead time means routine replenishment is unavailable in-season</t>
  </si>
  <si>
    <t xml:space="preserve">High — sets tail fill</t>
  </si>
  <si>
    <t xml:space="preserve">Covers 4–5 weeks at low-season velocity</t>
  </si>
  <si>
    <t xml:space="preserve">plan weeks 14–24</t>
  </si>
  <si>
    <t xml:space="preserve">Window over which the throttle applies</t>
  </si>
  <si>
    <t xml:space="preserve">replen_cadence / lead / trigger / target</t>
  </si>
  <si>
    <t xml:space="preserve">3 wk / 3 wk / 5.0 WOS / 7.0 WOS</t>
  </si>
  <si>
    <t xml:space="preserve">weeks, WOS</t>
  </si>
  <si>
    <t xml:space="preserve">Standard (R,S) review policy</t>
  </si>
  <si>
    <t xml:space="preserve">Annual ceiling on replenishment</t>
  </si>
  <si>
    <t xml:space="preserve">High — gates the lever</t>
  </si>
  <si>
    <t xml:space="preserve">Trailing 4-week SHIPPED vs plan; a stocked-out cell cannot signal, which is deliberate</t>
  </si>
  <si>
    <t xml:space="preserve">Hard cap per series per plan year; 4.85% actually used</t>
  </si>
  <si>
    <t xml:space="preserve">High — often lands too late</t>
  </si>
  <si>
    <t xml:space="preserve">A November trigger arrives in late January</t>
  </si>
  <si>
    <t xml:space="preserve">Chase may only be triggered inside this window</t>
  </si>
  <si>
    <t xml:space="preserve">Order = 4 × weekly excess run-rate</t>
  </si>
  <si>
    <t xml:space="preserve">0–7, from daily depletion</t>
  </si>
  <si>
    <t xml:space="preserve">Critical — the only availability signal</t>
  </si>
  <si>
    <t xml:space="preserve">Step 3C v5 → Step 4A</t>
  </si>
  <si>
    <t xml:space="preserve">Availability-to-demand ratios are never exposed, keeping cleansing a genuine problem</t>
  </si>
  <si>
    <t xml:space="preserve">Limitation</t>
  </si>
  <si>
    <t xml:space="preserve">monthly_fill_concentration</t>
  </si>
  <si>
    <t xml:space="preserve">Dec 84.2% / Jan 73.4% vs Oct 99.7% / Nov 98.5%</t>
  </si>
  <si>
    <t xml:space="preserve">Documented and retained</t>
  </si>
  <si>
    <t xml:space="preserve">Aggregate Oct–Jan target met, but shortage is concentrated late in peak. Retained deliberately rather than tuned away; see Known_Limitations.</t>
  </si>
  <si>
    <t xml:space="preserve">Known Limitations — retained deliberately</t>
  </si>
  <si>
    <t xml:space="preserve">These are documented, not defects awaiting a fix. Each is retained so it can be discussed as a design decision.</t>
  </si>
  <si>
    <t xml:space="preserve">id</t>
  </si>
  <si>
    <t xml:space="preserve">limitation</t>
  </si>
  <si>
    <t xml:space="preserve">why it exists</t>
  </si>
  <si>
    <t xml:space="preserve">potential impact</t>
  </si>
  <si>
    <t xml:space="preserve">what I would do in production</t>
  </si>
  <si>
    <t xml:space="preserve">what I learned</t>
  </si>
  <si>
    <t xml:space="preserve">L1</t>
  </si>
  <si>
    <t xml:space="preserve">Midwest weather uses a synthetic proxy instead of observed Chicago ERA5</t>
  </si>
  <si>
    <t xml:space="preserve">The Chicago ERA5 series was not pulled when Step 3B v3.1 was generated, so US_MIDWEST daily weather is a documented blend of Toronto (70%) and Montreal (30%) with a +1.2 °C adjustment, snow ×0.80, rain ×0.92 and wind ×1.06.</t>
  </si>
  <si>
    <t xml:space="preserve">One of nine regions carries weather that is directionally plausible but not observed. Any regional weather result for US_MIDWEST reflects the proxy, not Chicago. Portfolio-level conclusions are only marginally affected because the region carries ~14% of demand.</t>
  </si>
  <si>
    <t xml:space="preserve">Add the Chicago row to the region file, re-run the historical pull, and regenerate the hidden drivers. The generator recomputes drivers from whatever daily file it finds, so the swap requires no code change and only Midwest rows move.</t>
  </si>
  <si>
    <t xml:space="preserve">I learned that it is far safer to ship a clearly labelled proxy than an unlabelled assumption. Tagging the field SYNTHETIC_PROXY_BLEND_CHICAGO_PENDING_ERA5 means nobody reading the dataset can mistake it for observed data, and the limitation becomes a conversation about provenance discipline rather than a credibility problem.</t>
  </si>
  <si>
    <t xml:space="preserve">L2</t>
  </si>
  <si>
    <t xml:space="preserve">Peak stockouts are concentrated in December–January rather than spread across Sep–Jan</t>
  </si>
  <si>
    <t xml:space="preserve">Receipts are planned on forward coverage, so a cell that under-buys drains progressively and breaks late in its coverage block. October and November sit immediately behind the October receipt and therefore fill at 99.7% and 98.5%, while December and January carry 63% of all lost demand.</t>
  </si>
  <si>
    <t xml:space="preserve">The aggregate Oct–Jan service target (89.0%) is met, but the within-peak profile is lumpier than reality. Step 4 demand cleansing will see censoring concentrated in two months, which may understate how much cleansing matters for early-season forecasting.</t>
  </si>
  <si>
    <t xml:space="preserve">Model receipts against a rolling weeks-of-supply target through the season rather than discrete coverage blocks, and introduce size/colour-level availability so a style can be partially broken in November while still showing stock.</t>
  </si>
  <si>
    <t xml:space="preserve">My first seasonal-buy design achieved the correct annual fill rate but created shortages in the wrong months. I learned that aggregate KPIs can hide poor temporal behaviour, so I added month-level service and lost-demand diagnostics before accepting the simulation. I also learned when to stop tuning: the remaining concentration is a known artefact I can explain, not a defect I should keep chasing.</t>
  </si>
  <si>
    <t xml:space="preserve">L3</t>
  </si>
  <si>
    <t xml:space="preserve">Synthetic demand and inventory are built for analytical experimentation, not to reproduce Arc'teryx internal data</t>
  </si>
  <si>
    <t xml:space="preserve">No proprietary demand, inventory, capacity or cost data is available. Every unit, price and service assumption is generated from documented rules, calibrated only against public company disclosures and observable price tiers.</t>
  </si>
  <si>
    <t xml:space="preserve">Absolute figures — unit volumes, revenue, fill rates — carry no external validity. They cannot be compared to any real Arc'teryx result and must never be presented as such.</t>
  </si>
  <si>
    <t xml:space="preserve">Replace the generated fact tables with actual sales, inventory and PO history, keeping the same schema and the same assumption register so the analytical layer transfers unchanged.</t>
  </si>
  <si>
    <t xml:space="preserve">I learned to separate the credibility of a method from the credibility of its numbers. Framing this as a simulated environment with a full provenance register makes the planning logic reviewable on its own merits, which is a stronger position than presenting invented numbers as if they were real.</t>
  </si>
  <si>
    <t xml:space="preserve">L4</t>
  </si>
  <si>
    <t xml:space="preserve">Weather contribution and elasticities are simulation assumptions, not empirical estimates</t>
  </si>
  <si>
    <t xml:space="preserve">Weather sensitivity was set to deliver a 3–5% share of demand variance and was tuned to that target rather than estimated from observed sales response.</t>
  </si>
  <si>
    <t xml:space="preserve">Any measured weather forecast value-add reflects the sensitivity I chose. It is evidence that the method can detect a weather signal of that size, not evidence about how weather actually drives premium outerwear demand.</t>
  </si>
  <si>
    <t xml:space="preserve">Estimate elasticities from observed sell-through against weather history using a holdout period, and report confidence intervals rather than point sensitivities.</t>
  </si>
  <si>
    <t xml:space="preserve">I learned to state clearly what a result can and cannot prove. Building the hidden drivers from daily variables that are deliberately absent from the model-visible feature table meant the recovery R² landed near 0.49 — high enough to be worth modelling, low enough that the answer was not written into the input.</t>
  </si>
  <si>
    <t xml:space="preserve">L5</t>
  </si>
  <si>
    <t xml:space="preserve">Forecast and model performance in later steps must be described as performance within the simulated environment</t>
  </si>
  <si>
    <t xml:space="preserve">Ground truth exists only because the generator created it. WAPE, bias and forecast value add are measured against a demand process whose structure is known to the analyst.</t>
  </si>
  <si>
    <t xml:space="preserve">Accuracy figures from Step 4 onward are not transferable to a real portfolio. Quoting them as achieved forecast accuracy would be misleading.</t>
  </si>
  <si>
    <t xml:space="preserve">Re-run the full model selection and backtest on real history, and report accuracy against the incumbent planning process rather than against a known generator.</t>
  </si>
  <si>
    <t xml:space="preserve">I learned to write the caveat into the result rather than the appendix. Saying 'within a simulated environment, cleansing reduced systematic bias from X to Y' is both honest and more persuasive than an unqualified accuracy claim, because it shows I understand what the experiment actually tested.</t>
  </si>
  <si>
    <t xml:space="preserve">L6</t>
  </si>
  <si>
    <t xml:space="preserve">Step 3D economics have not yet been rebuilt against Step 3C v5</t>
  </si>
  <si>
    <t xml:space="preserve">The current retail economics file was generated from Step 3C v4, whose inventory and service profile has since been replaced.</t>
  </si>
  <si>
    <t xml:space="preserve">Any revenue, markdown, carrying-cost or excess-exposure figure taken from the existing 3D file is inconsistent with the v5 inventory outputs.</t>
  </si>
  <si>
    <t xml:space="preserve">Regenerate Step 3D from the v5 inventory file before using any economic figure, and verify the aged-inventory bands populate now that ending inventory persists.</t>
  </si>
  <si>
    <t xml:space="preserve">I learned to sequence dependencies deliberately. Rebuilding the economics layer before the inventory layer was settled would have meant building it twice, so I held the downstream step until the upstream one passed QA.</t>
  </si>
  <si>
    <t xml:space="preserve">Version History</t>
  </si>
  <si>
    <t xml:space="preserve">Each revision and the reasoning behind it. v3.1 is the current governing version.</t>
  </si>
  <si>
    <t xml:space="preserve">version</t>
  </si>
  <si>
    <t xml:space="preserve">scope</t>
  </si>
  <si>
    <t xml:space="preserve">what changed</t>
  </si>
  <si>
    <t xml:space="preserve">why it changed</t>
  </si>
  <si>
    <t xml:space="preserve">outcome / what remained open</t>
  </si>
  <si>
    <t xml:space="preserve">v2</t>
  </si>
  <si>
    <t xml:space="preserve">Step 3A v2 / 3B v2 / 3C v3</t>
  </si>
  <si>
    <t xml:space="preserve">Weather removed from the demand generator entirely; regions rebalanced to ~70/30 US/Canada with a Midwest region added; demand realism introduced (zeros, spikes, negative shocks); returns added; plan-driven inventory replaced demand-driven inventory.</t>
  </si>
  <si>
    <t xml:space="preserve">The v1 censoring layer set available inventory as a ratio of the same week's true demand, so demand cleansing recovered 100% of lost demand by algebra. Weather was injected into demand and then tested as a predictor, which was circular.</t>
  </si>
  <si>
    <t xml:space="preserve">Fixed the invertibility problem, but over-corrected on weather: with zero weather effect in the data, none of the three approved weather use cases could execute, and regional seasonal shapes became identical across all nine regions.</t>
  </si>
  <si>
    <t xml:space="preserve">v3</t>
  </si>
  <si>
    <t xml:space="preserve">Step 3A v3 / 3B v3 / 3C v4</t>
  </si>
  <si>
    <t xml:space="preserve">Hidden weather effect reintroduced using daily-derived drivers deliberately absent from the model-visible weekly feature table; exact plan-year structural growth reconciliation; regional seasonal differentiation; seasonal buying replaced continuous replenishment.</t>
  </si>
  <si>
    <t xml:space="preserve">Weather needed to exist in the data for normalization, nowcast and scenario use cases to be testable, but could not be recoverable from the features a model is allowed to see. Growth assumptions in v2 did not reconcile to the generated data.</t>
  </si>
  <si>
    <t xml:space="preserve">Weather and growth were correct, but the seasonal buy split an annual commitment across three fixed drops with no replenishment. That produced a monotone drawdown: peak filled at 100% while July collapsed to 47%. Shortage came from calendar exhaustion, not forecast error, so censoring landed in the months that matter least.</t>
  </si>
  <si>
    <t xml:space="preserve">v3.1</t>
  </si>
  <si>
    <t xml:space="preserve">Step 3A v3.1 / 3B v3.1 / 3C v5</t>
  </si>
  <si>
    <t xml:space="preserve">Weather hard clip replaced by a soft tanh cap (saturation 17.9% → 0.73%) with sensitivities re-tuned to hold a 3–5% variance share; US_MIDWEST weather coverage added as a documented synthetic proxy; seasonal buy rebuilt on forward coverage with four drops from July, split-delivered October tranches, per-cell coverage heterogeneity, a peak replenishment throttle and a working chase lever.</t>
  </si>
  <si>
    <t xml:space="preserve">Weather saturation made the effect a step function at the extremes and one region carried no weather at all. The v4 buy logic put stockouts in the wrong season, which would have invalidated the entire demand-cleansing exercise in Step 4.</t>
  </si>
  <si>
    <t xml:space="preserve">All service and integrity targets met: portfolio fill 92.46%, Oct–Jan 88.97%, Apr–Jun 97.54%, July 100%, Sep–Jan share of lost demand 66.32%, chase firing in 1,045 rows across all 81 series, corr(beginning inventory, true demand) 0.518. Shortage remains concentrated in Dec–Jan; retained as a documented limitation.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</si>
</sst>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14213D"/>
      <name val="Arial"/>
      <family val="0"/>
      <charset val="1"/>
    </font>
    <font>
      <i val="true"/>
      <sz val="9"/>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color rgb="FF595959"/>
      <name val="Arial"/>
      <family val="0"/>
      <charset val="1"/>
    </font>
  </fonts>
  <fills count="6">
    <fill>
      <patternFill patternType="none"/>
    </fill>
    <fill>
      <patternFill patternType="gray125"/>
    </fill>
    <fill>
      <patternFill patternType="solid">
        <fgColor rgb="FFE8EBF0"/>
        <bgColor rgb="FFEAF3EC"/>
      </patternFill>
    </fill>
    <fill>
      <patternFill patternType="solid">
        <fgColor rgb="FF14213D"/>
        <bgColor rgb="FF003366"/>
      </patternFill>
    </fill>
    <fill>
      <patternFill patternType="solid">
        <fgColor rgb="FFFFF4D6"/>
        <bgColor rgb="FFEAF3EC"/>
      </patternFill>
    </fill>
    <fill>
      <patternFill patternType="solid">
        <fgColor rgb="FFEAF3EC"/>
        <bgColor rgb="FFE8EBF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4D6"/>
      <rgbColor rgb="FFEAF3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BF0"/>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421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5"/>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row>
    <row r="5" customFormat="false" ht="15" hidden="false" customHeight="false" outlineLevel="0" collapsed="false">
      <c r="B5" s="5" t="s">
        <v>3</v>
      </c>
      <c r="C5" s="6" t="s">
        <v>4</v>
      </c>
    </row>
    <row r="6" customFormat="false" ht="15" hidden="false" customHeight="false" outlineLevel="0" collapsed="false">
      <c r="B6" s="5" t="s">
        <v>5</v>
      </c>
      <c r="C6" s="6" t="s">
        <v>6</v>
      </c>
    </row>
    <row r="7" customFormat="false" ht="15" hidden="false" customHeight="false" outlineLevel="0" collapsed="false">
      <c r="B7" s="5" t="s">
        <v>7</v>
      </c>
      <c r="C7" s="6" t="s">
        <v>8</v>
      </c>
    </row>
    <row r="8" customFormat="false" ht="15" hidden="false" customHeight="false" outlineLevel="0" collapsed="false">
      <c r="B8" s="5" t="s">
        <v>9</v>
      </c>
      <c r="C8" s="6" t="s">
        <v>10</v>
      </c>
    </row>
    <row r="9" customFormat="false" ht="15" hidden="false" customHeight="false" outlineLevel="0" collapsed="false">
      <c r="B9" s="5" t="s">
        <v>11</v>
      </c>
      <c r="C9" s="6" t="s">
        <v>12</v>
      </c>
    </row>
    <row r="10" customFormat="false" ht="15" hidden="false" customHeight="false" outlineLevel="0" collapsed="false">
      <c r="B10" s="5" t="s">
        <v>13</v>
      </c>
      <c r="C10" s="6" t="s">
        <v>14</v>
      </c>
    </row>
    <row r="11" customFormat="false" ht="15" hidden="false" customHeight="false" outlineLevel="0" collapsed="false">
      <c r="B11" s="5" t="s">
        <v>15</v>
      </c>
      <c r="C11" s="6" t="s">
        <v>16</v>
      </c>
    </row>
    <row r="12" customFormat="false" ht="15" hidden="false" customHeight="false" outlineLevel="0" collapsed="false">
      <c r="B12" s="5" t="s">
        <v>17</v>
      </c>
      <c r="C12" s="6" t="s">
        <v>18</v>
      </c>
    </row>
    <row r="13" customFormat="false" ht="15" hidden="false" customHeight="false" outlineLevel="0" collapsed="false">
      <c r="B13" s="5" t="s">
        <v>19</v>
      </c>
      <c r="C13" s="6" t="s">
        <v>20</v>
      </c>
    </row>
    <row r="14" customFormat="false" ht="15" hidden="false" customHeight="false" outlineLevel="0" collapsed="false">
      <c r="B14" s="5" t="s">
        <v>21</v>
      </c>
      <c r="C14" s="6" t="s">
        <v>22</v>
      </c>
    </row>
    <row r="15" customFormat="false" ht="15" hidden="false" customHeight="false" outlineLevel="0" collapsed="false">
      <c r="B15" s="5" t="s">
        <v>23</v>
      </c>
      <c r="C15" s="6" t="s">
        <v>24</v>
      </c>
    </row>
    <row r="16" customFormat="false" ht="15" hidden="false" customHeight="false" outlineLevel="0" collapsed="false">
      <c r="B16" s="5" t="s">
        <v>25</v>
      </c>
      <c r="C16" s="6" t="s">
        <v>26</v>
      </c>
    </row>
    <row r="17" customFormat="false" ht="15" hidden="false" customHeight="false" outlineLevel="0" collapsed="false">
      <c r="A17" s="3" t="s">
        <v>27</v>
      </c>
      <c r="B17" s="4"/>
      <c r="C17" s="4"/>
    </row>
    <row r="18" customFormat="false" ht="23.85" hidden="false" customHeight="false" outlineLevel="0" collapsed="false">
      <c r="B18" s="5" t="s">
        <v>28</v>
      </c>
      <c r="C18" s="6" t="s">
        <v>29</v>
      </c>
    </row>
    <row r="19" customFormat="false" ht="23.85" hidden="false" customHeight="false" outlineLevel="0" collapsed="false">
      <c r="B19" s="5" t="s">
        <v>30</v>
      </c>
      <c r="C19" s="6" t="s">
        <v>31</v>
      </c>
    </row>
    <row r="20" customFormat="false" ht="15" hidden="false" customHeight="false" outlineLevel="0" collapsed="false">
      <c r="B20" s="5" t="s">
        <v>32</v>
      </c>
      <c r="C20" s="6" t="s">
        <v>33</v>
      </c>
    </row>
    <row r="21" customFormat="false" ht="15" hidden="false" customHeight="false" outlineLevel="0" collapsed="false">
      <c r="B21" s="5" t="s">
        <v>34</v>
      </c>
      <c r="C21" s="6" t="s">
        <v>35</v>
      </c>
    </row>
    <row r="22" customFormat="false" ht="15" hidden="false" customHeight="false" outlineLevel="0" collapsed="false">
      <c r="B22" s="5" t="s">
        <v>36</v>
      </c>
      <c r="C22" s="6" t="s">
        <v>37</v>
      </c>
    </row>
    <row r="23" customFormat="false" ht="15" hidden="false" customHeight="false" outlineLevel="0" collapsed="false">
      <c r="A23" s="3" t="s">
        <v>38</v>
      </c>
      <c r="B23" s="4"/>
      <c r="C23" s="4"/>
    </row>
    <row r="24" customFormat="false" ht="15" hidden="false" customHeight="false" outlineLevel="0" collapsed="false">
      <c r="B24" s="5" t="s">
        <v>39</v>
      </c>
      <c r="C24" s="6" t="s">
        <v>40</v>
      </c>
    </row>
    <row r="25" customFormat="false" ht="15" hidden="false" customHeight="false" outlineLevel="0" collapsed="false">
      <c r="B25" s="5" t="s">
        <v>41</v>
      </c>
      <c r="C25" s="6" t="s">
        <v>42</v>
      </c>
    </row>
    <row r="26" customFormat="false" ht="15" hidden="false" customHeight="false" outlineLevel="0" collapsed="false">
      <c r="B26" s="5" t="s">
        <v>43</v>
      </c>
      <c r="C26" s="6" t="s">
        <v>44</v>
      </c>
    </row>
    <row r="27" customFormat="false" ht="15" hidden="false" customHeight="false" outlineLevel="0" collapsed="false">
      <c r="A27" s="3" t="s">
        <v>45</v>
      </c>
      <c r="B27" s="4"/>
      <c r="C27" s="4"/>
    </row>
    <row r="28" customFormat="false" ht="23.85" hidden="false" customHeight="false" outlineLevel="0" collapsed="false">
      <c r="B28" s="5" t="s">
        <v>46</v>
      </c>
      <c r="C28" s="6" t="s">
        <v>47</v>
      </c>
    </row>
    <row r="29" customFormat="false" ht="23.85" hidden="false" customHeight="false" outlineLevel="0" collapsed="false">
      <c r="B29" s="5" t="s">
        <v>48</v>
      </c>
      <c r="C29" s="6" t="s">
        <v>49</v>
      </c>
    </row>
    <row r="30" customFormat="false" ht="15" hidden="false" customHeight="false" outlineLevel="0" collapsed="false">
      <c r="B30" s="5" t="s">
        <v>50</v>
      </c>
      <c r="C30" s="6"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0"/>
    <col collapsed="false" customWidth="true" hidden="false" outlineLevel="0" max="4" min="4" style="0" width="18"/>
    <col collapsed="false" customWidth="true" hidden="false" outlineLevel="0" max="5" min="5" style="0" width="24"/>
    <col collapsed="false" customWidth="true" hidden="false" outlineLevel="0" max="6" min="6" style="0" width="20"/>
    <col collapsed="false" customWidth="true" hidden="false" outlineLevel="0" max="7" min="7" style="0" width="12"/>
    <col collapsed="false" customWidth="true" hidden="false" outlineLevel="0" max="8" min="8" style="0" width="16"/>
    <col collapsed="false" customWidth="true" hidden="false" outlineLevel="0" max="9" min="9" style="0" width="14"/>
    <col collapsed="false" customWidth="true" hidden="false" outlineLevel="0" max="10" min="10" style="0" width="16"/>
  </cols>
  <sheetData>
    <row r="1" customFormat="false" ht="16.15" hidden="false" customHeight="false" outlineLevel="0" collapsed="false">
      <c r="A1" s="1" t="s">
        <v>52</v>
      </c>
    </row>
    <row r="2" customFormat="false" ht="15" hidden="false" customHeight="false" outlineLevel="0" collapsed="false">
      <c r="A2" s="2" t="s">
        <v>53</v>
      </c>
    </row>
    <row r="4" customFormat="false" ht="23.85" hidden="false" customHeight="false" outlineLevel="0" collapsed="false">
      <c r="A4" s="7" t="s">
        <v>54</v>
      </c>
      <c r="B4" s="7" t="s">
        <v>55</v>
      </c>
      <c r="C4" s="7" t="s">
        <v>56</v>
      </c>
      <c r="D4" s="7" t="s">
        <v>57</v>
      </c>
      <c r="E4" s="7" t="s">
        <v>58</v>
      </c>
      <c r="F4" s="7" t="s">
        <v>59</v>
      </c>
      <c r="G4" s="7" t="s">
        <v>60</v>
      </c>
      <c r="H4" s="7" t="s">
        <v>61</v>
      </c>
      <c r="I4" s="7" t="s">
        <v>62</v>
      </c>
      <c r="J4" s="7" t="s">
        <v>63</v>
      </c>
    </row>
    <row r="5" customFormat="false" ht="15" hidden="false" customHeight="false" outlineLevel="0" collapsed="false">
      <c r="A5" s="8" t="s">
        <v>64</v>
      </c>
      <c r="B5" s="8" t="s">
        <v>65</v>
      </c>
      <c r="C5" s="8" t="s">
        <v>66</v>
      </c>
      <c r="D5" s="8" t="s">
        <v>67</v>
      </c>
      <c r="E5" s="8" t="n">
        <v>920</v>
      </c>
      <c r="F5" s="8" t="n">
        <v>0.055</v>
      </c>
      <c r="G5" s="8" t="n">
        <v>650</v>
      </c>
      <c r="H5" s="8" t="n">
        <v>0.18</v>
      </c>
      <c r="I5" s="8" t="n">
        <v>0.11</v>
      </c>
      <c r="J5" s="8" t="s">
        <v>68</v>
      </c>
    </row>
    <row r="6" customFormat="false" ht="15" hidden="false" customHeight="false" outlineLevel="0" collapsed="false">
      <c r="A6" s="8" t="s">
        <v>69</v>
      </c>
      <c r="B6" s="8" t="s">
        <v>70</v>
      </c>
      <c r="C6" s="8" t="s">
        <v>71</v>
      </c>
      <c r="D6" s="8" t="s">
        <v>67</v>
      </c>
      <c r="E6" s="8" t="n">
        <v>1320</v>
      </c>
      <c r="F6" s="8" t="n">
        <v>0.065</v>
      </c>
      <c r="G6" s="8" t="n">
        <v>400</v>
      </c>
      <c r="H6" s="8" t="n">
        <v>0.16</v>
      </c>
      <c r="I6" s="8" t="n">
        <v>0.1</v>
      </c>
      <c r="J6" s="8" t="s">
        <v>68</v>
      </c>
    </row>
    <row r="7" customFormat="false" ht="15" hidden="false" customHeight="false" outlineLevel="0" collapsed="false">
      <c r="A7" s="8" t="s">
        <v>72</v>
      </c>
      <c r="B7" s="8" t="s">
        <v>73</v>
      </c>
      <c r="C7" s="8" t="s">
        <v>74</v>
      </c>
      <c r="D7" s="8" t="s">
        <v>75</v>
      </c>
      <c r="E7" s="8" t="n">
        <v>540</v>
      </c>
      <c r="F7" s="8" t="n">
        <v>0.04</v>
      </c>
      <c r="G7" s="8" t="n">
        <v>800</v>
      </c>
      <c r="H7" s="8" t="n">
        <v>0.14</v>
      </c>
      <c r="I7" s="8" t="n">
        <v>0.14</v>
      </c>
      <c r="J7" s="8" t="s">
        <v>68</v>
      </c>
    </row>
    <row r="8" customFormat="false" ht="15" hidden="false" customHeight="false" outlineLevel="0" collapsed="false">
      <c r="A8" s="8" t="s">
        <v>76</v>
      </c>
      <c r="B8" s="8" t="s">
        <v>77</v>
      </c>
      <c r="C8" s="8" t="s">
        <v>78</v>
      </c>
      <c r="D8" s="8" t="s">
        <v>79</v>
      </c>
      <c r="E8" s="8"/>
      <c r="F8" s="8"/>
      <c r="G8" s="8" t="n">
        <v>850</v>
      </c>
      <c r="H8" s="8" t="n">
        <v>0.12</v>
      </c>
      <c r="I8" s="8" t="n">
        <v>0.15</v>
      </c>
      <c r="J8" s="8"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6" min="4" style="0" width="16"/>
    <col collapsed="false" customWidth="true" hidden="false" outlineLevel="0" max="7" min="7" style="0" width="46"/>
  </cols>
  <sheetData>
    <row r="1" customFormat="false" ht="16.15" hidden="false" customHeight="false" outlineLevel="0" collapsed="false">
      <c r="A1" s="1" t="s">
        <v>80</v>
      </c>
    </row>
    <row r="2" customFormat="false" ht="15" hidden="false" customHeight="false" outlineLevel="0" collapsed="false">
      <c r="A2" s="2" t="s">
        <v>81</v>
      </c>
    </row>
    <row r="4" customFormat="false" ht="15" hidden="false" customHeight="false" outlineLevel="0" collapsed="false">
      <c r="A4" s="7" t="s">
        <v>82</v>
      </c>
      <c r="B4" s="7" t="s">
        <v>83</v>
      </c>
      <c r="C4" s="7" t="s">
        <v>84</v>
      </c>
      <c r="D4" s="7" t="s">
        <v>85</v>
      </c>
      <c r="E4" s="7" t="s">
        <v>86</v>
      </c>
      <c r="F4" s="7" t="s">
        <v>87</v>
      </c>
      <c r="G4" s="7" t="s">
        <v>88</v>
      </c>
    </row>
    <row r="5" customFormat="false" ht="15" hidden="false" customHeight="false" outlineLevel="0" collapsed="false">
      <c r="A5" s="8" t="s">
        <v>89</v>
      </c>
      <c r="B5" s="8" t="s">
        <v>90</v>
      </c>
      <c r="C5" s="8" t="s">
        <v>91</v>
      </c>
      <c r="D5" s="8" t="n">
        <v>1</v>
      </c>
      <c r="E5" s="8" t="n">
        <v>1</v>
      </c>
      <c r="F5" s="8" t="n">
        <v>1</v>
      </c>
      <c r="G5" s="9" t="s">
        <v>92</v>
      </c>
    </row>
    <row r="6" customFormat="false" ht="15" hidden="false" customHeight="false" outlineLevel="0" collapsed="false">
      <c r="A6" s="8" t="s">
        <v>93</v>
      </c>
      <c r="B6" s="8" t="s">
        <v>94</v>
      </c>
      <c r="C6" s="8" t="s">
        <v>95</v>
      </c>
      <c r="D6" s="8" t="n">
        <v>1.055</v>
      </c>
      <c r="E6" s="8" t="n">
        <v>1.065</v>
      </c>
      <c r="F6" s="8" t="n">
        <v>1.04</v>
      </c>
      <c r="G6" s="9" t="s">
        <v>96</v>
      </c>
    </row>
    <row r="7" customFormat="false" ht="15" hidden="false" customHeight="false" outlineLevel="0" collapsed="false">
      <c r="A7" s="8" t="s">
        <v>97</v>
      </c>
      <c r="B7" s="8" t="s">
        <v>98</v>
      </c>
      <c r="C7" s="8" t="s">
        <v>99</v>
      </c>
      <c r="D7" s="8" t="n">
        <v>1.113</v>
      </c>
      <c r="E7" s="8" t="n">
        <v>1.1342</v>
      </c>
      <c r="F7" s="8" t="n">
        <v>1.0816</v>
      </c>
      <c r="G7" s="9" t="s">
        <v>100</v>
      </c>
    </row>
    <row r="8" customFormat="false" ht="15" hidden="false" customHeight="false" outlineLevel="0" collapsed="false">
      <c r="A8" s="8" t="s">
        <v>101</v>
      </c>
      <c r="B8" s="8" t="s">
        <v>102</v>
      </c>
      <c r="C8" s="8" t="s">
        <v>103</v>
      </c>
      <c r="D8" s="8" t="n">
        <v>1.1742</v>
      </c>
      <c r="E8" s="8" t="n">
        <v>1.2079</v>
      </c>
      <c r="F8" s="8" t="n">
        <v>1.1249</v>
      </c>
      <c r="G8" s="9" t="s">
        <v>100</v>
      </c>
    </row>
    <row r="9" customFormat="false" ht="15" hidden="false" customHeight="false" outlineLevel="0" collapsed="false">
      <c r="A9" s="8" t="s">
        <v>104</v>
      </c>
      <c r="B9" s="8" t="s">
        <v>105</v>
      </c>
      <c r="C9" s="8" t="s">
        <v>106</v>
      </c>
      <c r="D9" s="8" t="n">
        <v>1.2388</v>
      </c>
      <c r="E9" s="8" t="n">
        <v>1.2864</v>
      </c>
      <c r="F9" s="8" t="n">
        <v>1.1699</v>
      </c>
      <c r="G9" s="9" t="s">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26"/>
    <col collapsed="false" customWidth="true" hidden="false" outlineLevel="0" max="5" min="4" style="0" width="20"/>
    <col collapsed="false" customWidth="true" hidden="false" outlineLevel="0" max="6" min="6" style="0" width="26"/>
    <col collapsed="false" customWidth="true" hidden="false" outlineLevel="0" max="7" min="7" style="0" width="20"/>
  </cols>
  <sheetData>
    <row r="1" customFormat="false" ht="16.15" hidden="false" customHeight="false" outlineLevel="0" collapsed="false">
      <c r="A1" s="1" t="s">
        <v>19</v>
      </c>
    </row>
    <row r="2" customFormat="false" ht="15" hidden="false" customHeight="false" outlineLevel="0" collapsed="false">
      <c r="A2" s="2" t="s">
        <v>107</v>
      </c>
    </row>
    <row r="4" customFormat="false" ht="15" hidden="false" customHeight="false" outlineLevel="0" collapsed="false">
      <c r="A4" s="7" t="s">
        <v>108</v>
      </c>
      <c r="B4" s="7" t="s">
        <v>109</v>
      </c>
      <c r="C4" s="7" t="s">
        <v>110</v>
      </c>
      <c r="D4" s="7" t="s">
        <v>111</v>
      </c>
      <c r="E4" s="7" t="s">
        <v>112</v>
      </c>
      <c r="F4" s="7" t="s">
        <v>113</v>
      </c>
      <c r="G4" s="7" t="s">
        <v>63</v>
      </c>
    </row>
    <row r="5" customFormat="false" ht="15" hidden="false" customHeight="false" outlineLevel="0" collapsed="false">
      <c r="A5" s="8" t="s">
        <v>114</v>
      </c>
      <c r="B5" s="8" t="s">
        <v>115</v>
      </c>
      <c r="C5" s="8" t="s">
        <v>116</v>
      </c>
      <c r="D5" s="8" t="s">
        <v>117</v>
      </c>
      <c r="E5" s="8" t="n">
        <v>0.09</v>
      </c>
      <c r="F5" s="9" t="s">
        <v>118</v>
      </c>
      <c r="G5" s="8" t="s">
        <v>68</v>
      </c>
    </row>
    <row r="6" customFormat="false" ht="15" hidden="false" customHeight="false" outlineLevel="0" collapsed="false">
      <c r="A6" s="8" t="s">
        <v>119</v>
      </c>
      <c r="B6" s="8" t="s">
        <v>115</v>
      </c>
      <c r="C6" s="8" t="s">
        <v>120</v>
      </c>
      <c r="D6" s="8" t="s">
        <v>121</v>
      </c>
      <c r="E6" s="8" t="n">
        <v>0.05</v>
      </c>
      <c r="F6" s="9" t="s">
        <v>122</v>
      </c>
      <c r="G6" s="8" t="s">
        <v>68</v>
      </c>
    </row>
    <row r="7" customFormat="false" ht="15" hidden="false" customHeight="false" outlineLevel="0" collapsed="false">
      <c r="A7" s="8" t="s">
        <v>123</v>
      </c>
      <c r="B7" s="8" t="s">
        <v>115</v>
      </c>
      <c r="C7" s="8" t="s">
        <v>124</v>
      </c>
      <c r="D7" s="8" t="s">
        <v>125</v>
      </c>
      <c r="E7" s="8" t="n">
        <v>0.09</v>
      </c>
      <c r="F7" s="9" t="s">
        <v>126</v>
      </c>
      <c r="G7" s="8" t="s">
        <v>68</v>
      </c>
    </row>
    <row r="8" customFormat="false" ht="15" hidden="false" customHeight="false" outlineLevel="0" collapsed="false">
      <c r="A8" s="8" t="s">
        <v>127</v>
      </c>
      <c r="B8" s="8" t="s">
        <v>115</v>
      </c>
      <c r="C8" s="8" t="s">
        <v>128</v>
      </c>
      <c r="D8" s="8" t="s">
        <v>129</v>
      </c>
      <c r="E8" s="8" t="n">
        <v>0.06</v>
      </c>
      <c r="F8" s="9" t="s">
        <v>130</v>
      </c>
      <c r="G8" s="8" t="s">
        <v>68</v>
      </c>
    </row>
    <row r="9" customFormat="false" ht="15" hidden="false" customHeight="false" outlineLevel="0" collapsed="false">
      <c r="A9" s="8" t="s">
        <v>131</v>
      </c>
      <c r="B9" s="8" t="s">
        <v>132</v>
      </c>
      <c r="C9" s="8" t="s">
        <v>133</v>
      </c>
      <c r="D9" s="8" t="s">
        <v>134</v>
      </c>
      <c r="E9" s="8" t="n">
        <v>0.11</v>
      </c>
      <c r="F9" s="9" t="s">
        <v>135</v>
      </c>
      <c r="G9" s="8" t="s">
        <v>68</v>
      </c>
    </row>
    <row r="10" customFormat="false" ht="15" hidden="false" customHeight="false" outlineLevel="0" collapsed="false">
      <c r="A10" s="8" t="s">
        <v>136</v>
      </c>
      <c r="B10" s="8" t="s">
        <v>132</v>
      </c>
      <c r="C10" s="8" t="s">
        <v>137</v>
      </c>
      <c r="D10" s="8" t="s">
        <v>138</v>
      </c>
      <c r="E10" s="8" t="n">
        <v>0.18</v>
      </c>
      <c r="F10" s="9" t="s">
        <v>139</v>
      </c>
      <c r="G10" s="8" t="s">
        <v>68</v>
      </c>
    </row>
    <row r="11" customFormat="false" ht="23.85" hidden="false" customHeight="false" outlineLevel="0" collapsed="false">
      <c r="A11" s="8" t="s">
        <v>140</v>
      </c>
      <c r="B11" s="8" t="s">
        <v>132</v>
      </c>
      <c r="C11" s="8" t="s">
        <v>141</v>
      </c>
      <c r="D11" s="8" t="s">
        <v>142</v>
      </c>
      <c r="E11" s="8" t="n">
        <v>0.14</v>
      </c>
      <c r="F11" s="9" t="s">
        <v>143</v>
      </c>
      <c r="G11" s="8" t="s">
        <v>68</v>
      </c>
    </row>
    <row r="12" customFormat="false" ht="15" hidden="false" customHeight="false" outlineLevel="0" collapsed="false">
      <c r="A12" s="8" t="s">
        <v>144</v>
      </c>
      <c r="B12" s="8" t="s">
        <v>132</v>
      </c>
      <c r="C12" s="8" t="s">
        <v>145</v>
      </c>
      <c r="D12" s="8" t="s">
        <v>146</v>
      </c>
      <c r="E12" s="8" t="n">
        <v>0.12</v>
      </c>
      <c r="F12" s="9" t="s">
        <v>147</v>
      </c>
      <c r="G12" s="8" t="s">
        <v>68</v>
      </c>
    </row>
    <row r="13" customFormat="false" ht="23.85" hidden="false" customHeight="false" outlineLevel="0" collapsed="false">
      <c r="A13" s="8" t="s">
        <v>148</v>
      </c>
      <c r="B13" s="8" t="s">
        <v>132</v>
      </c>
      <c r="C13" s="8" t="s">
        <v>149</v>
      </c>
      <c r="D13" s="8" t="s">
        <v>150</v>
      </c>
      <c r="E13" s="8" t="n">
        <v>0.16</v>
      </c>
      <c r="F13" s="9" t="s">
        <v>151</v>
      </c>
      <c r="G13" s="8"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5" min="2" style="0" width="16"/>
    <col collapsed="false" customWidth="true" hidden="false" outlineLevel="0" max="6" min="6" style="0" width="52"/>
  </cols>
  <sheetData>
    <row r="1" customFormat="false" ht="16.15" hidden="false" customHeight="false" outlineLevel="0" collapsed="false">
      <c r="A1" s="1" t="s">
        <v>152</v>
      </c>
    </row>
    <row r="2" customFormat="false" ht="15" hidden="false" customHeight="false" outlineLevel="0" collapsed="false">
      <c r="A2" s="2" t="s">
        <v>81</v>
      </c>
    </row>
    <row r="4" customFormat="false" ht="15" hidden="false" customHeight="false" outlineLevel="0" collapsed="false">
      <c r="A4" s="7" t="s">
        <v>108</v>
      </c>
      <c r="B4" s="7" t="s">
        <v>153</v>
      </c>
      <c r="C4" s="7" t="s">
        <v>154</v>
      </c>
      <c r="D4" s="7" t="s">
        <v>155</v>
      </c>
      <c r="E4" s="7" t="s">
        <v>156</v>
      </c>
      <c r="F4" s="7" t="s">
        <v>88</v>
      </c>
    </row>
    <row r="5" customFormat="false" ht="15" hidden="false" customHeight="false" outlineLevel="0" collapsed="false">
      <c r="A5" s="8" t="s">
        <v>114</v>
      </c>
      <c r="B5" s="8" t="n">
        <v>1.04</v>
      </c>
      <c r="C5" s="8" t="n">
        <v>1</v>
      </c>
      <c r="D5" s="8" t="n">
        <v>0.97</v>
      </c>
      <c r="E5" s="8" t="n">
        <v>1.04</v>
      </c>
      <c r="F5" s="9" t="s">
        <v>157</v>
      </c>
    </row>
    <row r="6" customFormat="false" ht="15" hidden="false" customHeight="false" outlineLevel="0" collapsed="false">
      <c r="A6" s="8" t="s">
        <v>119</v>
      </c>
      <c r="B6" s="8" t="n">
        <v>1.1</v>
      </c>
      <c r="C6" s="8" t="n">
        <v>0.98</v>
      </c>
      <c r="D6" s="8" t="n">
        <v>0.92</v>
      </c>
      <c r="E6" s="8" t="n">
        <v>1.04</v>
      </c>
      <c r="F6" s="9" t="s">
        <v>158</v>
      </c>
    </row>
    <row r="7" customFormat="false" ht="15" hidden="false" customHeight="false" outlineLevel="0" collapsed="false">
      <c r="A7" s="8" t="s">
        <v>123</v>
      </c>
      <c r="B7" s="8" t="n">
        <v>1.07</v>
      </c>
      <c r="C7" s="8" t="n">
        <v>1</v>
      </c>
      <c r="D7" s="8" t="n">
        <v>0.95</v>
      </c>
      <c r="E7" s="8" t="n">
        <v>1.03</v>
      </c>
      <c r="F7" s="9" t="s">
        <v>159</v>
      </c>
    </row>
    <row r="8" customFormat="false" ht="15" hidden="false" customHeight="false" outlineLevel="0" collapsed="false">
      <c r="A8" s="8" t="s">
        <v>127</v>
      </c>
      <c r="B8" s="8" t="n">
        <v>1.1</v>
      </c>
      <c r="C8" s="8" t="n">
        <v>0.98</v>
      </c>
      <c r="D8" s="8" t="n">
        <v>0.93</v>
      </c>
      <c r="E8" s="8" t="n">
        <v>1.04</v>
      </c>
      <c r="F8" s="9" t="s">
        <v>160</v>
      </c>
    </row>
    <row r="9" customFormat="false" ht="15" hidden="false" customHeight="false" outlineLevel="0" collapsed="false">
      <c r="A9" s="8" t="s">
        <v>131</v>
      </c>
      <c r="B9" s="8" t="n">
        <v>1.03</v>
      </c>
      <c r="C9" s="8" t="n">
        <v>1</v>
      </c>
      <c r="D9" s="8" t="n">
        <v>0.98</v>
      </c>
      <c r="E9" s="8" t="n">
        <v>1.03</v>
      </c>
      <c r="F9" s="9" t="s">
        <v>161</v>
      </c>
    </row>
    <row r="10" customFormat="false" ht="15" hidden="false" customHeight="false" outlineLevel="0" collapsed="false">
      <c r="A10" s="8" t="s">
        <v>136</v>
      </c>
      <c r="B10" s="8" t="n">
        <v>1.06</v>
      </c>
      <c r="C10" s="8" t="n">
        <v>1</v>
      </c>
      <c r="D10" s="8" t="n">
        <v>0.96</v>
      </c>
      <c r="E10" s="8" t="n">
        <v>1.03</v>
      </c>
      <c r="F10" s="9" t="s">
        <v>162</v>
      </c>
    </row>
    <row r="11" customFormat="false" ht="15" hidden="false" customHeight="false" outlineLevel="0" collapsed="false">
      <c r="A11" s="8" t="s">
        <v>140</v>
      </c>
      <c r="B11" s="8" t="n">
        <v>1.11</v>
      </c>
      <c r="C11" s="8" t="n">
        <v>0.97</v>
      </c>
      <c r="D11" s="8" t="n">
        <v>0.92</v>
      </c>
      <c r="E11" s="8" t="n">
        <v>1.03</v>
      </c>
      <c r="F11" s="9" t="s">
        <v>163</v>
      </c>
    </row>
    <row r="12" customFormat="false" ht="15" hidden="false" customHeight="false" outlineLevel="0" collapsed="false">
      <c r="A12" s="8" t="s">
        <v>144</v>
      </c>
      <c r="B12" s="8" t="n">
        <v>1.09</v>
      </c>
      <c r="C12" s="8" t="n">
        <v>0.99</v>
      </c>
      <c r="D12" s="8" t="n">
        <v>0.93</v>
      </c>
      <c r="E12" s="8" t="n">
        <v>1.05</v>
      </c>
      <c r="F12" s="9" t="s">
        <v>164</v>
      </c>
    </row>
    <row r="13" customFormat="false" ht="15" hidden="false" customHeight="false" outlineLevel="0" collapsed="false">
      <c r="A13" s="8" t="s">
        <v>148</v>
      </c>
      <c r="B13" s="8" t="n">
        <v>0.88</v>
      </c>
      <c r="C13" s="8" t="n">
        <v>1</v>
      </c>
      <c r="D13" s="8" t="n">
        <v>1.07</v>
      </c>
      <c r="E13" s="8" t="n">
        <v>0.98</v>
      </c>
      <c r="F13" s="9" t="s">
        <v>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18"/>
    <col collapsed="false" customWidth="true" hidden="false" outlineLevel="0" max="5" min="5" style="0" width="14"/>
  </cols>
  <sheetData>
    <row r="1" customFormat="false" ht="16.15" hidden="false" customHeight="false" outlineLevel="0" collapsed="false">
      <c r="A1" s="1" t="s">
        <v>166</v>
      </c>
    </row>
    <row r="2" customFormat="false" ht="15" hidden="false" customHeight="false" outlineLevel="0" collapsed="false">
      <c r="A2" s="2" t="s">
        <v>81</v>
      </c>
    </row>
    <row r="4" customFormat="false" ht="15" hidden="false" customHeight="false" outlineLevel="0" collapsed="false">
      <c r="A4" s="7" t="s">
        <v>82</v>
      </c>
      <c r="B4" s="7" t="s">
        <v>167</v>
      </c>
      <c r="C4" s="7" t="s">
        <v>168</v>
      </c>
      <c r="D4" s="7" t="s">
        <v>169</v>
      </c>
      <c r="E4" s="7" t="s">
        <v>170</v>
      </c>
    </row>
    <row r="5" customFormat="false" ht="15" hidden="false" customHeight="false" outlineLevel="0" collapsed="false">
      <c r="A5" s="8" t="s">
        <v>89</v>
      </c>
      <c r="B5" s="8" t="n">
        <v>0.39</v>
      </c>
      <c r="C5" s="8" t="n">
        <v>0.31</v>
      </c>
      <c r="D5" s="8" t="n">
        <v>0.3</v>
      </c>
      <c r="E5" s="8" t="n">
        <v>1</v>
      </c>
    </row>
    <row r="6" customFormat="false" ht="15" hidden="false" customHeight="false" outlineLevel="0" collapsed="false">
      <c r="A6" s="8" t="s">
        <v>93</v>
      </c>
      <c r="B6" s="8" t="n">
        <v>0.4</v>
      </c>
      <c r="C6" s="8" t="n">
        <v>0.31</v>
      </c>
      <c r="D6" s="8" t="n">
        <v>0.29</v>
      </c>
      <c r="E6" s="8" t="n">
        <v>1</v>
      </c>
    </row>
    <row r="7" customFormat="false" ht="15" hidden="false" customHeight="false" outlineLevel="0" collapsed="false">
      <c r="A7" s="8" t="s">
        <v>97</v>
      </c>
      <c r="B7" s="8" t="n">
        <v>0.412</v>
      </c>
      <c r="C7" s="8" t="n">
        <v>0.31</v>
      </c>
      <c r="D7" s="8" t="n">
        <v>0.278</v>
      </c>
      <c r="E7" s="8" t="n">
        <v>1</v>
      </c>
    </row>
    <row r="8" customFormat="false" ht="15" hidden="false" customHeight="false" outlineLevel="0" collapsed="false">
      <c r="A8" s="8" t="s">
        <v>101</v>
      </c>
      <c r="B8" s="8" t="n">
        <v>0.423</v>
      </c>
      <c r="C8" s="8" t="n">
        <v>0.31</v>
      </c>
      <c r="D8" s="8" t="n">
        <v>0.267</v>
      </c>
      <c r="E8" s="8" t="n">
        <v>1</v>
      </c>
    </row>
    <row r="9" customFormat="false" ht="15" hidden="false" customHeight="false" outlineLevel="0" collapsed="false">
      <c r="A9" s="8" t="s">
        <v>104</v>
      </c>
      <c r="B9" s="8" t="n">
        <v>0.434</v>
      </c>
      <c r="C9" s="8" t="n">
        <v>0.31</v>
      </c>
      <c r="D9" s="8" t="n">
        <v>0.256</v>
      </c>
      <c r="E9" s="8"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34"/>
    <col collapsed="false" customWidth="true" hidden="false" outlineLevel="0" max="4" min="4" style="0" width="14"/>
    <col collapsed="false" customWidth="true" hidden="false" outlineLevel="0" max="5" min="5" style="0" width="52"/>
  </cols>
  <sheetData>
    <row r="1" customFormat="false" ht="16.15" hidden="false" customHeight="false" outlineLevel="0" collapsed="false">
      <c r="A1" s="1" t="s">
        <v>171</v>
      </c>
    </row>
    <row r="2" customFormat="false" ht="15" hidden="false" customHeight="false" outlineLevel="0" collapsed="false">
      <c r="A2" s="2" t="s">
        <v>172</v>
      </c>
    </row>
    <row r="4" customFormat="false" ht="15" hidden="false" customHeight="false" outlineLevel="0" collapsed="false">
      <c r="A4" s="7" t="s">
        <v>173</v>
      </c>
      <c r="B4" s="7" t="s">
        <v>174</v>
      </c>
      <c r="C4" s="7" t="s">
        <v>175</v>
      </c>
      <c r="D4" s="7" t="s">
        <v>176</v>
      </c>
      <c r="E4" s="7" t="s">
        <v>177</v>
      </c>
    </row>
    <row r="5" customFormat="false" ht="15" hidden="false" customHeight="false" outlineLevel="0" collapsed="false">
      <c r="A5" s="8" t="s">
        <v>178</v>
      </c>
      <c r="B5" s="8" t="s">
        <v>179</v>
      </c>
      <c r="C5" s="8" t="s">
        <v>180</v>
      </c>
      <c r="D5" s="8" t="s">
        <v>181</v>
      </c>
      <c r="E5" s="9" t="s">
        <v>182</v>
      </c>
    </row>
    <row r="6" customFormat="false" ht="15" hidden="false" customHeight="false" outlineLevel="0" collapsed="false">
      <c r="A6" s="8" t="s">
        <v>183</v>
      </c>
      <c r="B6" s="8" t="s">
        <v>184</v>
      </c>
      <c r="C6" s="8" t="s">
        <v>185</v>
      </c>
      <c r="D6" s="8" t="s">
        <v>181</v>
      </c>
      <c r="E6" s="9" t="s">
        <v>186</v>
      </c>
    </row>
    <row r="7" customFormat="false" ht="15" hidden="false" customHeight="false" outlineLevel="0" collapsed="false">
      <c r="A7" s="8" t="s">
        <v>187</v>
      </c>
      <c r="B7" s="8" t="s">
        <v>188</v>
      </c>
      <c r="C7" s="8" t="s">
        <v>189</v>
      </c>
      <c r="D7" s="8" t="s">
        <v>181</v>
      </c>
      <c r="E7" s="9" t="s">
        <v>190</v>
      </c>
    </row>
    <row r="8" customFormat="false" ht="15" hidden="false" customHeight="false" outlineLevel="0" collapsed="false">
      <c r="A8" s="8" t="s">
        <v>191</v>
      </c>
      <c r="B8" s="8" t="s">
        <v>192</v>
      </c>
      <c r="C8" s="8" t="s">
        <v>193</v>
      </c>
      <c r="D8" s="8" t="s">
        <v>194</v>
      </c>
      <c r="E8" s="9" t="s">
        <v>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22"/>
    <col collapsed="false" customWidth="true" hidden="false" outlineLevel="0" max="4" min="4" style="0" width="20"/>
    <col collapsed="false" customWidth="true" hidden="false" outlineLevel="0" max="5" min="5" style="0" width="22"/>
    <col collapsed="false" customWidth="true" hidden="false" outlineLevel="0" max="6" min="6" style="0" width="40"/>
    <col collapsed="false" customWidth="true" hidden="false" outlineLevel="0" max="7" min="7" style="0" width="16"/>
  </cols>
  <sheetData>
    <row r="1" customFormat="false" ht="16.15" hidden="false" customHeight="false" outlineLevel="0" collapsed="false">
      <c r="A1" s="1" t="s">
        <v>196</v>
      </c>
    </row>
    <row r="2" customFormat="false" ht="15" hidden="false" customHeight="false" outlineLevel="0" collapsed="false">
      <c r="A2" s="2" t="s">
        <v>197</v>
      </c>
    </row>
    <row r="4" customFormat="false" ht="15" hidden="false" customHeight="false" outlineLevel="0" collapsed="false">
      <c r="A4" s="7" t="s">
        <v>198</v>
      </c>
      <c r="B4" s="7" t="s">
        <v>199</v>
      </c>
      <c r="C4" s="7" t="s">
        <v>200</v>
      </c>
      <c r="D4" s="7" t="s">
        <v>201</v>
      </c>
      <c r="E4" s="7" t="s">
        <v>202</v>
      </c>
      <c r="F4" s="7" t="s">
        <v>88</v>
      </c>
      <c r="G4" s="7" t="s">
        <v>63</v>
      </c>
    </row>
    <row r="5" customFormat="false" ht="23.85" hidden="false" customHeight="false" outlineLevel="0" collapsed="false">
      <c r="A5" s="8" t="s">
        <v>203</v>
      </c>
      <c r="B5" s="8" t="n">
        <v>0.07</v>
      </c>
      <c r="C5" s="8" t="n">
        <v>0.85</v>
      </c>
      <c r="D5" s="8" t="n">
        <v>2</v>
      </c>
      <c r="E5" s="8" t="n">
        <v>0.0595</v>
      </c>
      <c r="F5" s="9" t="s">
        <v>204</v>
      </c>
      <c r="G5" s="8" t="s">
        <v>68</v>
      </c>
    </row>
    <row r="6" customFormat="false" ht="15" hidden="false" customHeight="false" outlineLevel="0" collapsed="false">
      <c r="A6" s="8" t="s">
        <v>205</v>
      </c>
      <c r="B6" s="8" t="n">
        <v>0.055</v>
      </c>
      <c r="C6" s="8" t="n">
        <v>0.9</v>
      </c>
      <c r="D6" s="8" t="n">
        <v>1</v>
      </c>
      <c r="E6" s="8" t="n">
        <v>0.0495</v>
      </c>
      <c r="F6" s="9" t="s">
        <v>206</v>
      </c>
      <c r="G6" s="8" t="s">
        <v>68</v>
      </c>
    </row>
    <row r="7" customFormat="false" ht="23.85" hidden="false" customHeight="false" outlineLevel="0" collapsed="false">
      <c r="A7" s="8" t="s">
        <v>207</v>
      </c>
      <c r="B7" s="8" t="n">
        <v>0.02</v>
      </c>
      <c r="C7" s="8" t="n">
        <v>0.5</v>
      </c>
      <c r="D7" s="8" t="n">
        <v>3</v>
      </c>
      <c r="E7" s="8" t="n">
        <v>0.01</v>
      </c>
      <c r="F7" s="9" t="s">
        <v>208</v>
      </c>
      <c r="G7" s="8"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4"/>
    <col collapsed="false" customWidth="true" hidden="false" outlineLevel="0" max="4" min="4" style="0" width="44"/>
    <col collapsed="false" customWidth="true" hidden="false" outlineLevel="0" max="5" min="5" style="0" width="16"/>
  </cols>
  <sheetData>
    <row r="1" customFormat="false" ht="16.15" hidden="false" customHeight="false" outlineLevel="0" collapsed="false">
      <c r="A1" s="1" t="s">
        <v>209</v>
      </c>
    </row>
    <row r="2" customFormat="false" ht="15" hidden="false" customHeight="false" outlineLevel="0" collapsed="false">
      <c r="A2" s="2" t="s">
        <v>210</v>
      </c>
    </row>
    <row r="4" customFormat="false" ht="15" hidden="false" customHeight="false" outlineLevel="0" collapsed="false">
      <c r="A4" s="7" t="s">
        <v>211</v>
      </c>
      <c r="B4" s="7" t="s">
        <v>212</v>
      </c>
      <c r="C4" s="7" t="s">
        <v>213</v>
      </c>
      <c r="D4" s="7" t="s">
        <v>214</v>
      </c>
      <c r="E4" s="7" t="s">
        <v>63</v>
      </c>
    </row>
    <row r="5" customFormat="false" ht="23.85" hidden="false" customHeight="false" outlineLevel="0" collapsed="false">
      <c r="A5" s="8" t="s">
        <v>215</v>
      </c>
      <c r="B5" s="8" t="n">
        <v>0.18</v>
      </c>
      <c r="C5" s="8" t="s">
        <v>216</v>
      </c>
      <c r="D5" s="9" t="s">
        <v>217</v>
      </c>
      <c r="E5" s="8" t="s">
        <v>68</v>
      </c>
    </row>
    <row r="6" customFormat="false" ht="15" hidden="false" customHeight="false" outlineLevel="0" collapsed="false">
      <c r="A6" s="8" t="s">
        <v>218</v>
      </c>
      <c r="B6" s="8" t="n">
        <v>0</v>
      </c>
      <c r="C6" s="8" t="s">
        <v>216</v>
      </c>
      <c r="D6" s="9" t="s">
        <v>219</v>
      </c>
      <c r="E6" s="8" t="s">
        <v>68</v>
      </c>
    </row>
    <row r="7" customFormat="false" ht="15" hidden="false" customHeight="false" outlineLevel="0" collapsed="false">
      <c r="A7" s="8" t="s">
        <v>220</v>
      </c>
      <c r="B7" s="8" t="n">
        <v>0.1</v>
      </c>
      <c r="C7" s="8" t="s">
        <v>216</v>
      </c>
      <c r="D7" s="9" t="s">
        <v>221</v>
      </c>
      <c r="E7" s="8" t="s">
        <v>68</v>
      </c>
    </row>
    <row r="8" customFormat="false" ht="15" hidden="false" customHeight="false" outlineLevel="0" collapsed="false">
      <c r="A8" s="8" t="s">
        <v>222</v>
      </c>
      <c r="B8" s="8" t="n">
        <v>0.2</v>
      </c>
      <c r="C8" s="8" t="s">
        <v>216</v>
      </c>
      <c r="D8" s="9" t="s">
        <v>223</v>
      </c>
      <c r="E8" s="8" t="s">
        <v>68</v>
      </c>
    </row>
    <row r="9" customFormat="false" ht="15" hidden="false" customHeight="false" outlineLevel="0" collapsed="false">
      <c r="A9" s="8" t="s">
        <v>224</v>
      </c>
      <c r="B9" s="8" t="n">
        <v>0.35</v>
      </c>
      <c r="C9" s="8" t="s">
        <v>216</v>
      </c>
      <c r="D9" s="9" t="s">
        <v>225</v>
      </c>
      <c r="E9" s="8" t="s">
        <v>68</v>
      </c>
    </row>
    <row r="10" customFormat="false" ht="15" hidden="false" customHeight="false" outlineLevel="0" collapsed="false">
      <c r="A10" s="8" t="s">
        <v>226</v>
      </c>
      <c r="B10" s="8" t="n">
        <v>0.45</v>
      </c>
      <c r="C10" s="8" t="s">
        <v>216</v>
      </c>
      <c r="D10" s="9" t="s">
        <v>227</v>
      </c>
      <c r="E10" s="8" t="s">
        <v>68</v>
      </c>
    </row>
    <row r="11" customFormat="false" ht="15" hidden="false" customHeight="false" outlineLevel="0" collapsed="false">
      <c r="A11" s="8" t="s">
        <v>228</v>
      </c>
      <c r="B11" s="8" t="n">
        <v>0.03</v>
      </c>
      <c r="C11" s="8" t="s">
        <v>216</v>
      </c>
      <c r="D11" s="9" t="s">
        <v>229</v>
      </c>
      <c r="E11" s="8"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46"/>
    <col collapsed="false" customWidth="true" hidden="false" outlineLevel="0" max="4" min="4" style="0" width="18"/>
    <col collapsed="false" customWidth="true" hidden="false" outlineLevel="0" max="5" min="5" style="0" width="26"/>
    <col collapsed="false" customWidth="true" hidden="false" outlineLevel="0" max="6" min="6" style="0" width="16"/>
    <col collapsed="false" customWidth="true" hidden="false" outlineLevel="0" max="7" min="7" style="0" width="14"/>
    <col collapsed="false" customWidth="true" hidden="false" outlineLevel="0" max="8" min="8" style="0" width="82"/>
  </cols>
  <sheetData>
    <row r="1" customFormat="false" ht="16.15" hidden="false" customHeight="false" outlineLevel="0" collapsed="false">
      <c r="A1" s="1" t="s">
        <v>230</v>
      </c>
    </row>
    <row r="2" customFormat="false" ht="15" hidden="false" customHeight="false" outlineLevel="0" collapsed="false">
      <c r="A2" s="2" t="s">
        <v>231</v>
      </c>
    </row>
    <row r="4" customFormat="false" ht="15" hidden="false" customHeight="false" outlineLevel="0" collapsed="false">
      <c r="A4" s="7" t="s">
        <v>232</v>
      </c>
      <c r="B4" s="7" t="s">
        <v>211</v>
      </c>
      <c r="C4" s="7" t="s">
        <v>212</v>
      </c>
      <c r="D4" s="7" t="s">
        <v>213</v>
      </c>
      <c r="E4" s="7" t="s">
        <v>63</v>
      </c>
      <c r="F4" s="7" t="s">
        <v>233</v>
      </c>
      <c r="G4" s="7" t="s">
        <v>234</v>
      </c>
      <c r="H4" s="7" t="s">
        <v>235</v>
      </c>
    </row>
    <row r="5" customFormat="false" ht="23.85" hidden="false" customHeight="false" outlineLevel="0" collapsed="false">
      <c r="A5" s="10" t="s">
        <v>236</v>
      </c>
      <c r="B5" s="10" t="s">
        <v>237</v>
      </c>
      <c r="C5" s="11" t="s">
        <v>238</v>
      </c>
      <c r="D5" s="10" t="s">
        <v>239</v>
      </c>
      <c r="E5" s="10" t="s">
        <v>68</v>
      </c>
      <c r="F5" s="10" t="s">
        <v>240</v>
      </c>
      <c r="G5" s="10" t="s">
        <v>241</v>
      </c>
      <c r="H5" s="11" t="s">
        <v>242</v>
      </c>
    </row>
    <row r="6" customFormat="false" ht="15" hidden="false" customHeight="false" outlineLevel="0" collapsed="false">
      <c r="A6" s="10" t="s">
        <v>236</v>
      </c>
      <c r="B6" s="10" t="s">
        <v>243</v>
      </c>
      <c r="C6" s="11" t="n">
        <v>0.2</v>
      </c>
      <c r="D6" s="10" t="s">
        <v>244</v>
      </c>
      <c r="E6" s="10" t="s">
        <v>68</v>
      </c>
      <c r="F6" s="10" t="s">
        <v>240</v>
      </c>
      <c r="G6" s="10" t="s">
        <v>241</v>
      </c>
      <c r="H6" s="11" t="s">
        <v>245</v>
      </c>
    </row>
    <row r="7" customFormat="false" ht="23.85" hidden="false" customHeight="false" outlineLevel="0" collapsed="false">
      <c r="A7" s="10" t="s">
        <v>246</v>
      </c>
      <c r="B7" s="10" t="s">
        <v>247</v>
      </c>
      <c r="C7" s="11" t="n">
        <v>0.215</v>
      </c>
      <c r="D7" s="10" t="s">
        <v>248</v>
      </c>
      <c r="E7" s="10" t="s">
        <v>68</v>
      </c>
      <c r="F7" s="10" t="s">
        <v>240</v>
      </c>
      <c r="G7" s="10" t="s">
        <v>241</v>
      </c>
      <c r="H7" s="11" t="s">
        <v>249</v>
      </c>
    </row>
    <row r="8" customFormat="false" ht="15" hidden="false" customHeight="false" outlineLevel="0" collapsed="false">
      <c r="A8" s="10" t="s">
        <v>246</v>
      </c>
      <c r="B8" s="10" t="s">
        <v>250</v>
      </c>
      <c r="C8" s="11" t="n">
        <v>0.215</v>
      </c>
      <c r="D8" s="10" t="s">
        <v>248</v>
      </c>
      <c r="E8" s="10" t="s">
        <v>68</v>
      </c>
      <c r="F8" s="10" t="s">
        <v>240</v>
      </c>
      <c r="G8" s="10" t="s">
        <v>241</v>
      </c>
      <c r="H8" s="11" t="s">
        <v>251</v>
      </c>
    </row>
    <row r="9" customFormat="false" ht="15" hidden="false" customHeight="false" outlineLevel="0" collapsed="false">
      <c r="A9" s="10" t="s">
        <v>246</v>
      </c>
      <c r="B9" s="10" t="s">
        <v>252</v>
      </c>
      <c r="C9" s="11" t="n">
        <v>0.292</v>
      </c>
      <c r="D9" s="10" t="s">
        <v>248</v>
      </c>
      <c r="E9" s="10" t="s">
        <v>68</v>
      </c>
      <c r="F9" s="10" t="s">
        <v>240</v>
      </c>
      <c r="G9" s="10" t="s">
        <v>241</v>
      </c>
      <c r="H9" s="11" t="s">
        <v>253</v>
      </c>
    </row>
    <row r="10" customFormat="false" ht="35.05" hidden="false" customHeight="false" outlineLevel="0" collapsed="false">
      <c r="A10" s="8" t="s">
        <v>254</v>
      </c>
      <c r="B10" s="8" t="s">
        <v>255</v>
      </c>
      <c r="C10" s="9" t="s">
        <v>256</v>
      </c>
      <c r="D10" s="8" t="s">
        <v>257</v>
      </c>
      <c r="E10" s="8" t="s">
        <v>258</v>
      </c>
      <c r="F10" s="8" t="s">
        <v>240</v>
      </c>
      <c r="G10" s="8"/>
      <c r="H10" s="9" t="s">
        <v>259</v>
      </c>
    </row>
    <row r="11" customFormat="false" ht="23.85" hidden="false" customHeight="false" outlineLevel="0" collapsed="false">
      <c r="A11" s="8" t="s">
        <v>260</v>
      </c>
      <c r="B11" s="8" t="s">
        <v>261</v>
      </c>
      <c r="C11" s="9" t="s">
        <v>262</v>
      </c>
      <c r="D11" s="8" t="s">
        <v>263</v>
      </c>
      <c r="E11" s="8" t="s">
        <v>264</v>
      </c>
      <c r="F11" s="8" t="s">
        <v>240</v>
      </c>
      <c r="G11" s="8"/>
      <c r="H11" s="9" t="s">
        <v>265</v>
      </c>
    </row>
    <row r="12" customFormat="false" ht="23.85" hidden="false" customHeight="false" outlineLevel="0" collapsed="false">
      <c r="A12" s="8" t="s">
        <v>260</v>
      </c>
      <c r="B12" s="8" t="s">
        <v>266</v>
      </c>
      <c r="C12" s="9" t="s">
        <v>267</v>
      </c>
      <c r="D12" s="8" t="s">
        <v>268</v>
      </c>
      <c r="E12" s="8" t="s">
        <v>264</v>
      </c>
      <c r="F12" s="8" t="s">
        <v>240</v>
      </c>
      <c r="G12" s="8"/>
      <c r="H12" s="9" t="s">
        <v>269</v>
      </c>
    </row>
    <row r="13" customFormat="false" ht="15" hidden="false" customHeight="false" outlineLevel="0" collapsed="false">
      <c r="A13" s="8" t="s">
        <v>260</v>
      </c>
      <c r="B13" s="8" t="s">
        <v>270</v>
      </c>
      <c r="C13" s="9" t="s">
        <v>271</v>
      </c>
      <c r="D13" s="8" t="s">
        <v>263</v>
      </c>
      <c r="E13" s="8" t="s">
        <v>264</v>
      </c>
      <c r="F13" s="8" t="s">
        <v>240</v>
      </c>
      <c r="G13" s="8"/>
      <c r="H13" s="9" t="s">
        <v>272</v>
      </c>
    </row>
    <row r="14" customFormat="false" ht="15" hidden="false" customHeight="false" outlineLevel="0" collapsed="false">
      <c r="A14" s="8" t="s">
        <v>260</v>
      </c>
      <c r="B14" s="8" t="s">
        <v>273</v>
      </c>
      <c r="C14" s="9" t="s">
        <v>274</v>
      </c>
      <c r="D14" s="8" t="s">
        <v>268</v>
      </c>
      <c r="E14" s="8" t="s">
        <v>264</v>
      </c>
      <c r="F14" s="8" t="s">
        <v>240</v>
      </c>
      <c r="G14" s="8"/>
      <c r="H14" s="9" t="s">
        <v>275</v>
      </c>
    </row>
    <row r="15" customFormat="false" ht="15" hidden="false" customHeight="false" outlineLevel="0" collapsed="false">
      <c r="A15" s="8" t="s">
        <v>260</v>
      </c>
      <c r="B15" s="8" t="s">
        <v>276</v>
      </c>
      <c r="C15" s="9" t="s">
        <v>277</v>
      </c>
      <c r="D15" s="8" t="s">
        <v>268</v>
      </c>
      <c r="E15" s="8" t="s">
        <v>264</v>
      </c>
      <c r="F15" s="8" t="s">
        <v>240</v>
      </c>
      <c r="G15" s="8"/>
      <c r="H15" s="9" t="s">
        <v>278</v>
      </c>
    </row>
    <row r="16" customFormat="false" ht="23.85" hidden="false" customHeight="false" outlineLevel="0" collapsed="false">
      <c r="A16" s="8" t="s">
        <v>260</v>
      </c>
      <c r="B16" s="8" t="s">
        <v>279</v>
      </c>
      <c r="C16" s="9" t="s">
        <v>280</v>
      </c>
      <c r="D16" s="8" t="s">
        <v>263</v>
      </c>
      <c r="E16" s="8" t="s">
        <v>264</v>
      </c>
      <c r="F16" s="8" t="s">
        <v>240</v>
      </c>
      <c r="G16" s="8"/>
      <c r="H16" s="9" t="s">
        <v>281</v>
      </c>
    </row>
    <row r="17" customFormat="false" ht="15" hidden="false" customHeight="false" outlineLevel="0" collapsed="false">
      <c r="A17" s="8" t="s">
        <v>260</v>
      </c>
      <c r="B17" s="8" t="s">
        <v>282</v>
      </c>
      <c r="C17" s="9" t="s">
        <v>283</v>
      </c>
      <c r="D17" s="8" t="s">
        <v>263</v>
      </c>
      <c r="E17" s="8" t="s">
        <v>264</v>
      </c>
      <c r="F17" s="8" t="s">
        <v>240</v>
      </c>
      <c r="G17" s="8"/>
      <c r="H17" s="9" t="s">
        <v>284</v>
      </c>
    </row>
    <row r="18" customFormat="false" ht="35.05" hidden="false" customHeight="false" outlineLevel="0" collapsed="false">
      <c r="A18" s="8" t="s">
        <v>45</v>
      </c>
      <c r="B18" s="8" t="s">
        <v>285</v>
      </c>
      <c r="C18" s="9" t="s">
        <v>286</v>
      </c>
      <c r="D18" s="8" t="s">
        <v>177</v>
      </c>
      <c r="E18" s="8" t="s">
        <v>287</v>
      </c>
      <c r="F18" s="8" t="s">
        <v>288</v>
      </c>
      <c r="G18" s="8"/>
      <c r="H18" s="9" t="s">
        <v>289</v>
      </c>
    </row>
    <row r="19" customFormat="false" ht="35.05" hidden="false" customHeight="false" outlineLevel="0" collapsed="false">
      <c r="A19" s="8" t="s">
        <v>45</v>
      </c>
      <c r="B19" s="8" t="s">
        <v>290</v>
      </c>
      <c r="C19" s="9" t="s">
        <v>194</v>
      </c>
      <c r="D19" s="8" t="s">
        <v>177</v>
      </c>
      <c r="E19" s="8" t="s">
        <v>287</v>
      </c>
      <c r="F19" s="8" t="s">
        <v>291</v>
      </c>
      <c r="G19" s="8"/>
      <c r="H19" s="9" t="s">
        <v>292</v>
      </c>
    </row>
    <row r="20" customFormat="false" ht="23.85" hidden="false" customHeight="false" outlineLevel="0" collapsed="false">
      <c r="A20" s="8" t="s">
        <v>293</v>
      </c>
      <c r="B20" s="8" t="s">
        <v>294</v>
      </c>
      <c r="C20" s="9" t="s">
        <v>295</v>
      </c>
      <c r="D20" s="8" t="s">
        <v>177</v>
      </c>
      <c r="E20" s="8" t="s">
        <v>287</v>
      </c>
      <c r="F20" s="8" t="s">
        <v>291</v>
      </c>
      <c r="G20" s="8"/>
      <c r="H20" s="9" t="s">
        <v>296</v>
      </c>
    </row>
    <row r="21" customFormat="false" ht="15" hidden="false" customHeight="false" outlineLevel="0" collapsed="false">
      <c r="A21" s="8" t="s">
        <v>297</v>
      </c>
      <c r="B21" s="8" t="s">
        <v>298</v>
      </c>
      <c r="C21" s="9" t="s">
        <v>299</v>
      </c>
      <c r="D21" s="8" t="s">
        <v>239</v>
      </c>
      <c r="E21" s="8" t="s">
        <v>300</v>
      </c>
      <c r="F21" s="8" t="s">
        <v>301</v>
      </c>
      <c r="G21" s="8"/>
      <c r="H21" s="9" t="s">
        <v>302</v>
      </c>
    </row>
    <row r="22" customFormat="false" ht="23.85" hidden="false" customHeight="false" outlineLevel="0" collapsed="false">
      <c r="A22" s="10" t="s">
        <v>297</v>
      </c>
      <c r="B22" s="10" t="s">
        <v>303</v>
      </c>
      <c r="C22" s="11" t="s">
        <v>304</v>
      </c>
      <c r="D22" s="10" t="s">
        <v>239</v>
      </c>
      <c r="E22" s="10" t="s">
        <v>305</v>
      </c>
      <c r="F22" s="10" t="s">
        <v>240</v>
      </c>
      <c r="G22" s="10" t="s">
        <v>241</v>
      </c>
      <c r="H22" s="11" t="s">
        <v>306</v>
      </c>
    </row>
    <row r="23" customFormat="false" ht="15" hidden="false" customHeight="false" outlineLevel="0" collapsed="false">
      <c r="A23" s="10" t="s">
        <v>297</v>
      </c>
      <c r="B23" s="10" t="s">
        <v>307</v>
      </c>
      <c r="C23" s="11" t="n">
        <v>0.7</v>
      </c>
      <c r="D23" s="10" t="s">
        <v>308</v>
      </c>
      <c r="E23" s="10" t="s">
        <v>305</v>
      </c>
      <c r="F23" s="10" t="s">
        <v>240</v>
      </c>
      <c r="G23" s="10" t="s">
        <v>241</v>
      </c>
      <c r="H23" s="11" t="s">
        <v>309</v>
      </c>
    </row>
    <row r="24" customFormat="false" ht="15" hidden="false" customHeight="false" outlineLevel="0" collapsed="false">
      <c r="A24" s="10" t="s">
        <v>297</v>
      </c>
      <c r="B24" s="10" t="s">
        <v>310</v>
      </c>
      <c r="C24" s="11" t="n">
        <v>0.3</v>
      </c>
      <c r="D24" s="10" t="s">
        <v>308</v>
      </c>
      <c r="E24" s="10" t="s">
        <v>305</v>
      </c>
      <c r="F24" s="10" t="s">
        <v>240</v>
      </c>
      <c r="G24" s="10" t="s">
        <v>241</v>
      </c>
      <c r="H24" s="11" t="s">
        <v>311</v>
      </c>
    </row>
    <row r="25" customFormat="false" ht="15" hidden="false" customHeight="false" outlineLevel="0" collapsed="false">
      <c r="A25" s="10" t="s">
        <v>297</v>
      </c>
      <c r="B25" s="10" t="s">
        <v>312</v>
      </c>
      <c r="C25" s="11" t="n">
        <v>1.2</v>
      </c>
      <c r="D25" s="10" t="s">
        <v>313</v>
      </c>
      <c r="E25" s="10" t="s">
        <v>305</v>
      </c>
      <c r="F25" s="10" t="s">
        <v>240</v>
      </c>
      <c r="G25" s="10" t="s">
        <v>241</v>
      </c>
      <c r="H25" s="11" t="s">
        <v>314</v>
      </c>
    </row>
    <row r="26" customFormat="false" ht="15" hidden="false" customHeight="false" outlineLevel="0" collapsed="false">
      <c r="A26" s="10" t="s">
        <v>297</v>
      </c>
      <c r="B26" s="10" t="s">
        <v>315</v>
      </c>
      <c r="C26" s="11" t="n">
        <v>0.8</v>
      </c>
      <c r="D26" s="10" t="s">
        <v>316</v>
      </c>
      <c r="E26" s="10" t="s">
        <v>305</v>
      </c>
      <c r="F26" s="10" t="s">
        <v>240</v>
      </c>
      <c r="G26" s="10" t="s">
        <v>241</v>
      </c>
      <c r="H26" s="11" t="s">
        <v>317</v>
      </c>
    </row>
    <row r="27" customFormat="false" ht="15" hidden="false" customHeight="false" outlineLevel="0" collapsed="false">
      <c r="A27" s="10" t="s">
        <v>297</v>
      </c>
      <c r="B27" s="10" t="s">
        <v>318</v>
      </c>
      <c r="C27" s="11" t="n">
        <v>0.92</v>
      </c>
      <c r="D27" s="10" t="s">
        <v>316</v>
      </c>
      <c r="E27" s="10" t="s">
        <v>305</v>
      </c>
      <c r="F27" s="10" t="s">
        <v>240</v>
      </c>
      <c r="G27" s="10" t="s">
        <v>241</v>
      </c>
      <c r="H27" s="11"/>
    </row>
    <row r="28" customFormat="false" ht="15" hidden="false" customHeight="false" outlineLevel="0" collapsed="false">
      <c r="A28" s="10" t="s">
        <v>297</v>
      </c>
      <c r="B28" s="10" t="s">
        <v>319</v>
      </c>
      <c r="C28" s="11" t="n">
        <v>1.06</v>
      </c>
      <c r="D28" s="10" t="s">
        <v>316</v>
      </c>
      <c r="E28" s="10" t="s">
        <v>305</v>
      </c>
      <c r="F28" s="10" t="s">
        <v>240</v>
      </c>
      <c r="G28" s="10" t="s">
        <v>241</v>
      </c>
      <c r="H28" s="11"/>
    </row>
    <row r="30" customFormat="false" ht="15" hidden="false" customHeight="false" outlineLevel="0" collapsed="false">
      <c r="A30" s="12" t="s">
        <v>320</v>
      </c>
    </row>
    <row r="31" customFormat="false" ht="15" hidden="false" customHeight="true" outlineLevel="0" collapsed="false">
      <c r="A31" s="13" t="s">
        <v>321</v>
      </c>
      <c r="B31" s="13"/>
      <c r="C31" s="13"/>
      <c r="D31" s="13"/>
      <c r="E31" s="13"/>
      <c r="F31" s="13"/>
      <c r="G31" s="13"/>
      <c r="H31" s="13"/>
    </row>
    <row r="32" customFormat="false" ht="15" hidden="false" customHeight="false" outlineLevel="0" collapsed="false">
      <c r="A32" s="13"/>
      <c r="B32" s="13"/>
      <c r="C32" s="13"/>
      <c r="D32" s="13"/>
      <c r="E32" s="13"/>
      <c r="F32" s="13"/>
      <c r="G32" s="13"/>
      <c r="H32" s="13"/>
    </row>
    <row r="34" customFormat="false" ht="15" hidden="false" customHeight="false" outlineLevel="0" collapsed="false">
      <c r="A34" s="5" t="s">
        <v>322</v>
      </c>
    </row>
    <row r="35" customFormat="false" ht="15" hidden="false" customHeight="false" outlineLevel="0" collapsed="false">
      <c r="A35" s="14" t="s">
        <v>323</v>
      </c>
      <c r="B35" s="14" t="s">
        <v>324</v>
      </c>
      <c r="C35" s="14" t="s">
        <v>325</v>
      </c>
    </row>
    <row r="36" customFormat="false" ht="15" hidden="false" customHeight="false" outlineLevel="0" collapsed="false">
      <c r="A36" s="15" t="s">
        <v>326</v>
      </c>
      <c r="B36" s="15" t="s">
        <v>327</v>
      </c>
      <c r="C36" s="15" t="s">
        <v>328</v>
      </c>
    </row>
    <row r="37" customFormat="false" ht="15" hidden="false" customHeight="false" outlineLevel="0" collapsed="false">
      <c r="A37" s="15" t="s">
        <v>329</v>
      </c>
      <c r="B37" s="15" t="s">
        <v>330</v>
      </c>
      <c r="C37" s="15" t="s">
        <v>331</v>
      </c>
    </row>
    <row r="38" customFormat="false" ht="15" hidden="false" customHeight="false" outlineLevel="0" collapsed="false">
      <c r="A38" s="15" t="s">
        <v>332</v>
      </c>
      <c r="B38" s="15" t="s">
        <v>333</v>
      </c>
      <c r="C38" s="15" t="s">
        <v>331</v>
      </c>
    </row>
    <row r="39" customFormat="false" ht="15" hidden="false" customHeight="false" outlineLevel="0" collapsed="false">
      <c r="A39" s="15" t="s">
        <v>334</v>
      </c>
      <c r="B39" s="15" t="s">
        <v>335</v>
      </c>
      <c r="C39" s="15" t="s">
        <v>331</v>
      </c>
    </row>
    <row r="40" customFormat="false" ht="15" hidden="false" customHeight="false" outlineLevel="0" collapsed="false">
      <c r="A40" s="15" t="s">
        <v>336</v>
      </c>
      <c r="B40" s="15" t="n">
        <v>0.492</v>
      </c>
      <c r="C40" s="15" t="s">
        <v>337</v>
      </c>
    </row>
    <row r="41" customFormat="false" ht="15" hidden="false" customHeight="false" outlineLevel="0" collapsed="false">
      <c r="A41" s="15" t="s">
        <v>338</v>
      </c>
      <c r="B41" s="15" t="n">
        <v>0.454</v>
      </c>
      <c r="C41" s="15" t="s">
        <v>337</v>
      </c>
    </row>
    <row r="42" customFormat="false" ht="15" hidden="false" customHeight="false" outlineLevel="0" collapsed="false">
      <c r="A42" s="15" t="s">
        <v>339</v>
      </c>
      <c r="B42" s="15" t="n">
        <v>0.496</v>
      </c>
      <c r="C42" s="15" t="s">
        <v>337</v>
      </c>
    </row>
  </sheetData>
  <mergeCells count="1">
    <mergeCell ref="A31: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46"/>
    <col collapsed="false" customWidth="true" hidden="false" outlineLevel="0" max="4" min="4" style="0" width="22"/>
    <col collapsed="false" customWidth="true" hidden="false" outlineLevel="0" max="5" min="5" style="0" width="16"/>
    <col collapsed="false" customWidth="true" hidden="false" outlineLevel="0" max="6" min="6" style="0" width="14"/>
    <col collapsed="false" customWidth="true" hidden="false" outlineLevel="0" max="7" min="7" style="0" width="88"/>
  </cols>
  <sheetData>
    <row r="1" customFormat="false" ht="16.15" hidden="false" customHeight="false" outlineLevel="0" collapsed="false">
      <c r="A1" s="1" t="s">
        <v>340</v>
      </c>
    </row>
    <row r="2" customFormat="false" ht="15" hidden="false" customHeight="false" outlineLevel="0" collapsed="false">
      <c r="A2" s="2" t="s">
        <v>341</v>
      </c>
    </row>
    <row r="4" customFormat="false" ht="15" hidden="false" customHeight="false" outlineLevel="0" collapsed="false">
      <c r="A4" s="7" t="s">
        <v>232</v>
      </c>
      <c r="B4" s="7" t="s">
        <v>211</v>
      </c>
      <c r="C4" s="7" t="s">
        <v>212</v>
      </c>
      <c r="D4" s="7" t="s">
        <v>213</v>
      </c>
      <c r="E4" s="7" t="s">
        <v>63</v>
      </c>
      <c r="F4" s="7" t="s">
        <v>234</v>
      </c>
      <c r="G4" s="7" t="s">
        <v>235</v>
      </c>
    </row>
    <row r="5" customFormat="false" ht="23.85" hidden="false" customHeight="false" outlineLevel="0" collapsed="false">
      <c r="A5" s="10" t="s">
        <v>342</v>
      </c>
      <c r="B5" s="10" t="s">
        <v>343</v>
      </c>
      <c r="C5" s="11" t="s">
        <v>344</v>
      </c>
      <c r="D5" s="10" t="s">
        <v>239</v>
      </c>
      <c r="E5" s="10" t="s">
        <v>68</v>
      </c>
      <c r="F5" s="10" t="s">
        <v>241</v>
      </c>
      <c r="G5" s="11" t="s">
        <v>345</v>
      </c>
    </row>
    <row r="6" customFormat="false" ht="15" hidden="false" customHeight="false" outlineLevel="0" collapsed="false">
      <c r="A6" s="10" t="s">
        <v>342</v>
      </c>
      <c r="B6" s="10" t="s">
        <v>346</v>
      </c>
      <c r="C6" s="11" t="n">
        <v>3</v>
      </c>
      <c r="D6" s="10" t="s">
        <v>347</v>
      </c>
      <c r="E6" s="10" t="s">
        <v>68</v>
      </c>
      <c r="F6" s="10" t="s">
        <v>241</v>
      </c>
      <c r="G6" s="11" t="s">
        <v>348</v>
      </c>
    </row>
    <row r="7" customFormat="false" ht="15" hidden="false" customHeight="false" outlineLevel="0" collapsed="false">
      <c r="A7" s="10" t="s">
        <v>342</v>
      </c>
      <c r="B7" s="10" t="s">
        <v>349</v>
      </c>
      <c r="C7" s="11" t="n">
        <v>0.05</v>
      </c>
      <c r="D7" s="10" t="s">
        <v>216</v>
      </c>
      <c r="E7" s="10" t="s">
        <v>68</v>
      </c>
      <c r="F7" s="10" t="s">
        <v>241</v>
      </c>
      <c r="G7" s="11" t="s">
        <v>350</v>
      </c>
    </row>
    <row r="8" customFormat="false" ht="15" hidden="false" customHeight="false" outlineLevel="0" collapsed="false">
      <c r="A8" s="10" t="s">
        <v>342</v>
      </c>
      <c r="B8" s="10" t="s">
        <v>351</v>
      </c>
      <c r="C8" s="11" t="n">
        <v>0.06</v>
      </c>
      <c r="D8" s="10" t="s">
        <v>216</v>
      </c>
      <c r="E8" s="10" t="s">
        <v>68</v>
      </c>
      <c r="F8" s="10" t="s">
        <v>241</v>
      </c>
      <c r="G8" s="11" t="s">
        <v>352</v>
      </c>
    </row>
    <row r="9" customFormat="false" ht="15" hidden="false" customHeight="false" outlineLevel="0" collapsed="false">
      <c r="A9" s="8" t="s">
        <v>342</v>
      </c>
      <c r="B9" s="8" t="s">
        <v>353</v>
      </c>
      <c r="C9" s="9" t="n">
        <v>22</v>
      </c>
      <c r="D9" s="8" t="s">
        <v>347</v>
      </c>
      <c r="E9" s="8" t="s">
        <v>68</v>
      </c>
      <c r="F9" s="8"/>
      <c r="G9" s="9" t="s">
        <v>354</v>
      </c>
    </row>
    <row r="10" customFormat="false" ht="23.85" hidden="false" customHeight="false" outlineLevel="0" collapsed="false">
      <c r="A10" s="10" t="s">
        <v>355</v>
      </c>
      <c r="B10" s="10" t="s">
        <v>356</v>
      </c>
      <c r="C10" s="11" t="s">
        <v>357</v>
      </c>
      <c r="D10" s="10" t="s">
        <v>239</v>
      </c>
      <c r="E10" s="10" t="s">
        <v>68</v>
      </c>
      <c r="F10" s="10" t="s">
        <v>241</v>
      </c>
      <c r="G10" s="11" t="s">
        <v>358</v>
      </c>
    </row>
    <row r="11" customFormat="false" ht="15" hidden="false" customHeight="false" outlineLevel="0" collapsed="false">
      <c r="A11" s="10" t="s">
        <v>355</v>
      </c>
      <c r="B11" s="10" t="s">
        <v>359</v>
      </c>
      <c r="C11" s="11" t="s">
        <v>360</v>
      </c>
      <c r="D11" s="10" t="s">
        <v>239</v>
      </c>
      <c r="E11" s="10" t="s">
        <v>68</v>
      </c>
      <c r="F11" s="10" t="s">
        <v>241</v>
      </c>
      <c r="G11" s="11" t="s">
        <v>361</v>
      </c>
    </row>
    <row r="12" customFormat="false" ht="15" hidden="false" customHeight="false" outlineLevel="0" collapsed="false">
      <c r="A12" s="10" t="s">
        <v>355</v>
      </c>
      <c r="B12" s="10" t="s">
        <v>362</v>
      </c>
      <c r="C12" s="11" t="s">
        <v>363</v>
      </c>
      <c r="D12" s="10" t="s">
        <v>239</v>
      </c>
      <c r="E12" s="10" t="s">
        <v>68</v>
      </c>
      <c r="F12" s="10" t="s">
        <v>241</v>
      </c>
      <c r="G12" s="11" t="s">
        <v>364</v>
      </c>
    </row>
    <row r="13" customFormat="false" ht="15" hidden="false" customHeight="false" outlineLevel="0" collapsed="false">
      <c r="A13" s="10" t="s">
        <v>355</v>
      </c>
      <c r="B13" s="10" t="s">
        <v>365</v>
      </c>
      <c r="C13" s="11" t="s">
        <v>366</v>
      </c>
      <c r="D13" s="10" t="s">
        <v>239</v>
      </c>
      <c r="E13" s="10" t="s">
        <v>68</v>
      </c>
      <c r="F13" s="10" t="s">
        <v>241</v>
      </c>
      <c r="G13" s="11" t="s">
        <v>364</v>
      </c>
    </row>
    <row r="14" customFormat="false" ht="15" hidden="false" customHeight="false" outlineLevel="0" collapsed="false">
      <c r="A14" s="10" t="s">
        <v>355</v>
      </c>
      <c r="B14" s="10" t="s">
        <v>367</v>
      </c>
      <c r="C14" s="11" t="s">
        <v>368</v>
      </c>
      <c r="D14" s="10" t="s">
        <v>239</v>
      </c>
      <c r="E14" s="10" t="s">
        <v>68</v>
      </c>
      <c r="F14" s="10" t="s">
        <v>241</v>
      </c>
      <c r="G14" s="11" t="s">
        <v>369</v>
      </c>
    </row>
    <row r="15" customFormat="false" ht="35.05" hidden="false" customHeight="false" outlineLevel="0" collapsed="false">
      <c r="A15" s="10" t="s">
        <v>355</v>
      </c>
      <c r="B15" s="10" t="s">
        <v>370</v>
      </c>
      <c r="C15" s="11" t="s">
        <v>371</v>
      </c>
      <c r="D15" s="10" t="s">
        <v>308</v>
      </c>
      <c r="E15" s="10" t="s">
        <v>68</v>
      </c>
      <c r="F15" s="10" t="s">
        <v>241</v>
      </c>
      <c r="G15" s="11" t="s">
        <v>372</v>
      </c>
    </row>
    <row r="16" customFormat="false" ht="23.85" hidden="false" customHeight="false" outlineLevel="0" collapsed="false">
      <c r="A16" s="10" t="s">
        <v>355</v>
      </c>
      <c r="B16" s="10" t="s">
        <v>373</v>
      </c>
      <c r="C16" s="11" t="s">
        <v>374</v>
      </c>
      <c r="D16" s="10" t="s">
        <v>347</v>
      </c>
      <c r="E16" s="10" t="s">
        <v>68</v>
      </c>
      <c r="F16" s="10" t="s">
        <v>241</v>
      </c>
      <c r="G16" s="11" t="s">
        <v>375</v>
      </c>
    </row>
    <row r="17" customFormat="false" ht="15" hidden="false" customHeight="false" outlineLevel="0" collapsed="false">
      <c r="A17" s="10" t="s">
        <v>355</v>
      </c>
      <c r="B17" s="10" t="s">
        <v>376</v>
      </c>
      <c r="C17" s="11" t="s">
        <v>377</v>
      </c>
      <c r="D17" s="10" t="s">
        <v>378</v>
      </c>
      <c r="E17" s="10" t="s">
        <v>68</v>
      </c>
      <c r="F17" s="10" t="s">
        <v>241</v>
      </c>
      <c r="G17" s="11" t="s">
        <v>379</v>
      </c>
    </row>
    <row r="18" customFormat="false" ht="23.85" hidden="false" customHeight="false" outlineLevel="0" collapsed="false">
      <c r="A18" s="10" t="s">
        <v>355</v>
      </c>
      <c r="B18" s="10" t="s">
        <v>380</v>
      </c>
      <c r="C18" s="11" t="n">
        <v>0.985</v>
      </c>
      <c r="D18" s="10" t="s">
        <v>381</v>
      </c>
      <c r="E18" s="10" t="s">
        <v>68</v>
      </c>
      <c r="F18" s="10" t="s">
        <v>241</v>
      </c>
      <c r="G18" s="11" t="s">
        <v>382</v>
      </c>
    </row>
    <row r="19" customFormat="false" ht="15" hidden="false" customHeight="false" outlineLevel="0" collapsed="false">
      <c r="A19" s="8" t="s">
        <v>355</v>
      </c>
      <c r="B19" s="8" t="s">
        <v>383</v>
      </c>
      <c r="C19" s="9" t="n">
        <v>0.1</v>
      </c>
      <c r="D19" s="8" t="s">
        <v>381</v>
      </c>
      <c r="E19" s="8" t="s">
        <v>68</v>
      </c>
      <c r="F19" s="8"/>
      <c r="G19" s="9" t="s">
        <v>384</v>
      </c>
    </row>
    <row r="20" customFormat="false" ht="15" hidden="false" customHeight="false" outlineLevel="0" collapsed="false">
      <c r="A20" s="10" t="s">
        <v>385</v>
      </c>
      <c r="B20" s="10" t="s">
        <v>386</v>
      </c>
      <c r="C20" s="11" t="n">
        <v>20</v>
      </c>
      <c r="D20" s="10" t="s">
        <v>387</v>
      </c>
      <c r="E20" s="10" t="s">
        <v>68</v>
      </c>
      <c r="F20" s="10" t="s">
        <v>241</v>
      </c>
      <c r="G20" s="11" t="s">
        <v>388</v>
      </c>
    </row>
    <row r="21" customFormat="false" ht="15" hidden="false" customHeight="false" outlineLevel="0" collapsed="false">
      <c r="A21" s="10" t="s">
        <v>385</v>
      </c>
      <c r="B21" s="10" t="s">
        <v>389</v>
      </c>
      <c r="C21" s="11" t="n">
        <v>3</v>
      </c>
      <c r="D21" s="10" t="s">
        <v>347</v>
      </c>
      <c r="E21" s="10" t="s">
        <v>68</v>
      </c>
      <c r="F21" s="10" t="s">
        <v>241</v>
      </c>
      <c r="G21" s="11" t="s">
        <v>390</v>
      </c>
    </row>
    <row r="22" customFormat="false" ht="15" hidden="false" customHeight="false" outlineLevel="0" collapsed="false">
      <c r="A22" s="10" t="s">
        <v>385</v>
      </c>
      <c r="B22" s="10" t="s">
        <v>391</v>
      </c>
      <c r="C22" s="11" t="n">
        <v>3</v>
      </c>
      <c r="D22" s="10" t="s">
        <v>347</v>
      </c>
      <c r="E22" s="10" t="s">
        <v>68</v>
      </c>
      <c r="F22" s="10" t="s">
        <v>241</v>
      </c>
      <c r="G22" s="11" t="s">
        <v>392</v>
      </c>
    </row>
    <row r="23" customFormat="false" ht="15" hidden="false" customHeight="false" outlineLevel="0" collapsed="false">
      <c r="A23" s="10" t="s">
        <v>385</v>
      </c>
      <c r="B23" s="10" t="s">
        <v>393</v>
      </c>
      <c r="C23" s="11" t="n">
        <v>5</v>
      </c>
      <c r="D23" s="10" t="s">
        <v>378</v>
      </c>
      <c r="E23" s="10" t="s">
        <v>68</v>
      </c>
      <c r="F23" s="10" t="s">
        <v>241</v>
      </c>
      <c r="G23" s="11" t="s">
        <v>394</v>
      </c>
    </row>
    <row r="24" customFormat="false" ht="15" hidden="false" customHeight="false" outlineLevel="0" collapsed="false">
      <c r="A24" s="10" t="s">
        <v>385</v>
      </c>
      <c r="B24" s="10" t="s">
        <v>395</v>
      </c>
      <c r="C24" s="11" t="n">
        <v>7</v>
      </c>
      <c r="D24" s="10" t="s">
        <v>378</v>
      </c>
      <c r="E24" s="10" t="s">
        <v>68</v>
      </c>
      <c r="F24" s="10" t="s">
        <v>241</v>
      </c>
      <c r="G24" s="11" t="s">
        <v>396</v>
      </c>
    </row>
    <row r="25" customFormat="false" ht="35.05" hidden="false" customHeight="false" outlineLevel="0" collapsed="false">
      <c r="A25" s="10" t="s">
        <v>385</v>
      </c>
      <c r="B25" s="10" t="s">
        <v>397</v>
      </c>
      <c r="C25" s="11" t="n">
        <v>0.01</v>
      </c>
      <c r="D25" s="10" t="s">
        <v>398</v>
      </c>
      <c r="E25" s="10" t="s">
        <v>68</v>
      </c>
      <c r="F25" s="10" t="s">
        <v>241</v>
      </c>
      <c r="G25" s="11" t="s">
        <v>399</v>
      </c>
    </row>
    <row r="26" customFormat="false" ht="23.85" hidden="false" customHeight="false" outlineLevel="0" collapsed="false">
      <c r="A26" s="10" t="s">
        <v>385</v>
      </c>
      <c r="B26" s="10" t="s">
        <v>400</v>
      </c>
      <c r="C26" s="11" t="n">
        <v>0.055</v>
      </c>
      <c r="D26" s="10" t="s">
        <v>398</v>
      </c>
      <c r="E26" s="10" t="s">
        <v>68</v>
      </c>
      <c r="F26" s="10" t="s">
        <v>241</v>
      </c>
      <c r="G26" s="11" t="s">
        <v>401</v>
      </c>
    </row>
    <row r="27" customFormat="false" ht="15" hidden="false" customHeight="false" outlineLevel="0" collapsed="false">
      <c r="A27" s="10" t="s">
        <v>385</v>
      </c>
      <c r="B27" s="10" t="s">
        <v>402</v>
      </c>
      <c r="C27" s="11" t="s">
        <v>403</v>
      </c>
      <c r="D27" s="10" t="s">
        <v>404</v>
      </c>
      <c r="E27" s="10" t="s">
        <v>68</v>
      </c>
      <c r="F27" s="10" t="s">
        <v>241</v>
      </c>
      <c r="G27" s="11" t="s">
        <v>405</v>
      </c>
    </row>
    <row r="28" customFormat="false" ht="15" hidden="false" customHeight="false" outlineLevel="0" collapsed="false">
      <c r="A28" s="10" t="s">
        <v>385</v>
      </c>
      <c r="B28" s="10" t="s">
        <v>406</v>
      </c>
      <c r="C28" s="11" t="n">
        <v>0.7</v>
      </c>
      <c r="D28" s="10" t="s">
        <v>398</v>
      </c>
      <c r="E28" s="10" t="s">
        <v>68</v>
      </c>
      <c r="F28" s="10" t="s">
        <v>241</v>
      </c>
      <c r="G28" s="11" t="s">
        <v>407</v>
      </c>
    </row>
    <row r="29" customFormat="false" ht="35.05" hidden="false" customHeight="false" outlineLevel="0" collapsed="false">
      <c r="A29" s="10" t="s">
        <v>408</v>
      </c>
      <c r="B29" s="10" t="s">
        <v>409</v>
      </c>
      <c r="C29" s="11" t="n">
        <v>0.15</v>
      </c>
      <c r="D29" s="10" t="s">
        <v>216</v>
      </c>
      <c r="E29" s="10" t="s">
        <v>68</v>
      </c>
      <c r="F29" s="10" t="s">
        <v>241</v>
      </c>
      <c r="G29" s="11" t="s">
        <v>410</v>
      </c>
    </row>
    <row r="30" customFormat="false" ht="15" hidden="false" customHeight="false" outlineLevel="0" collapsed="false">
      <c r="A30" s="8" t="s">
        <v>408</v>
      </c>
      <c r="B30" s="8" t="s">
        <v>411</v>
      </c>
      <c r="C30" s="9" t="n">
        <v>0.08</v>
      </c>
      <c r="D30" s="8" t="s">
        <v>398</v>
      </c>
      <c r="E30" s="8" t="s">
        <v>68</v>
      </c>
      <c r="F30" s="8"/>
      <c r="G30" s="9" t="s">
        <v>412</v>
      </c>
    </row>
    <row r="31" customFormat="false" ht="23.85" hidden="false" customHeight="false" outlineLevel="0" collapsed="false">
      <c r="A31" s="10" t="s">
        <v>408</v>
      </c>
      <c r="B31" s="10" t="s">
        <v>413</v>
      </c>
      <c r="C31" s="11" t="n">
        <v>10</v>
      </c>
      <c r="D31" s="10" t="s">
        <v>347</v>
      </c>
      <c r="E31" s="10" t="s">
        <v>68</v>
      </c>
      <c r="F31" s="10" t="s">
        <v>241</v>
      </c>
      <c r="G31" s="11" t="s">
        <v>414</v>
      </c>
    </row>
    <row r="32" customFormat="false" ht="15" hidden="false" customHeight="false" outlineLevel="0" collapsed="false">
      <c r="A32" s="10" t="s">
        <v>408</v>
      </c>
      <c r="B32" s="10" t="s">
        <v>415</v>
      </c>
      <c r="C32" s="11" t="s">
        <v>416</v>
      </c>
      <c r="D32" s="10" t="s">
        <v>404</v>
      </c>
      <c r="E32" s="10" t="s">
        <v>68</v>
      </c>
      <c r="F32" s="10" t="s">
        <v>241</v>
      </c>
      <c r="G32" s="11" t="s">
        <v>417</v>
      </c>
    </row>
    <row r="33" customFormat="false" ht="15" hidden="false" customHeight="false" outlineLevel="0" collapsed="false">
      <c r="A33" s="10" t="s">
        <v>408</v>
      </c>
      <c r="B33" s="10" t="s">
        <v>418</v>
      </c>
      <c r="C33" s="11" t="n">
        <v>4</v>
      </c>
      <c r="D33" s="10" t="s">
        <v>347</v>
      </c>
      <c r="E33" s="10" t="s">
        <v>68</v>
      </c>
      <c r="F33" s="10" t="s">
        <v>241</v>
      </c>
      <c r="G33" s="11" t="s">
        <v>419</v>
      </c>
    </row>
    <row r="34" customFormat="false" ht="23.85" hidden="false" customHeight="false" outlineLevel="0" collapsed="false">
      <c r="A34" s="8" t="s">
        <v>420</v>
      </c>
      <c r="B34" s="8" t="s">
        <v>421</v>
      </c>
      <c r="C34" s="9" t="s">
        <v>422</v>
      </c>
      <c r="D34" s="8" t="s">
        <v>263</v>
      </c>
      <c r="E34" s="8" t="s">
        <v>68</v>
      </c>
      <c r="F34" s="8"/>
      <c r="G34" s="9" t="s">
        <v>423</v>
      </c>
    </row>
    <row r="35" customFormat="false" ht="15" hidden="false" customHeight="false" outlineLevel="0" collapsed="false">
      <c r="A35" s="8" t="s">
        <v>420</v>
      </c>
      <c r="B35" s="8" t="s">
        <v>424</v>
      </c>
      <c r="C35" s="9" t="s">
        <v>425</v>
      </c>
      <c r="D35" s="8" t="s">
        <v>177</v>
      </c>
      <c r="E35" s="8" t="s">
        <v>68</v>
      </c>
      <c r="F35" s="8"/>
      <c r="G35" s="9" t="s">
        <v>426</v>
      </c>
    </row>
    <row r="36" customFormat="false" ht="15" hidden="false" customHeight="false" outlineLevel="0" collapsed="false">
      <c r="A36" s="8" t="s">
        <v>420</v>
      </c>
      <c r="B36" s="8" t="s">
        <v>427</v>
      </c>
      <c r="C36" s="9" t="s">
        <v>428</v>
      </c>
      <c r="D36" s="8" t="s">
        <v>177</v>
      </c>
      <c r="E36" s="8" t="s">
        <v>68</v>
      </c>
      <c r="F36" s="8"/>
      <c r="G36" s="9" t="s">
        <v>429</v>
      </c>
    </row>
    <row r="37" customFormat="false" ht="15" hidden="false" customHeight="false" outlineLevel="0" collapsed="false">
      <c r="A37" s="8" t="s">
        <v>430</v>
      </c>
      <c r="B37" s="8" t="s">
        <v>431</v>
      </c>
      <c r="C37" s="9" t="n">
        <v>0.92</v>
      </c>
      <c r="D37" s="8" t="s">
        <v>216</v>
      </c>
      <c r="E37" s="8" t="s">
        <v>68</v>
      </c>
      <c r="F37" s="8"/>
      <c r="G37" s="9" t="s">
        <v>432</v>
      </c>
    </row>
    <row r="39" customFormat="false" ht="15" hidden="false" customHeight="false" outlineLevel="0" collapsed="false">
      <c r="A39" s="5" t="s">
        <v>433</v>
      </c>
    </row>
    <row r="40" customFormat="false" ht="15" hidden="false" customHeight="false" outlineLevel="0" collapsed="false">
      <c r="A40" s="16" t="s">
        <v>434</v>
      </c>
      <c r="B40" s="16"/>
      <c r="C40" s="16"/>
      <c r="D40" s="16"/>
      <c r="E40" s="16"/>
      <c r="F40" s="16"/>
      <c r="G40" s="16"/>
    </row>
    <row r="42" customFormat="false" ht="15" hidden="false" customHeight="false" outlineLevel="0" collapsed="false">
      <c r="A42" s="5" t="s">
        <v>435</v>
      </c>
    </row>
    <row r="43" customFormat="false" ht="15" hidden="false" customHeight="false" outlineLevel="0" collapsed="false">
      <c r="A43" s="14" t="s">
        <v>323</v>
      </c>
      <c r="B43" s="14" t="s">
        <v>324</v>
      </c>
    </row>
    <row r="44" customFormat="false" ht="15" hidden="false" customHeight="false" outlineLevel="0" collapsed="false">
      <c r="A44" s="15" t="s">
        <v>436</v>
      </c>
      <c r="B44" s="15" t="s">
        <v>437</v>
      </c>
    </row>
    <row r="45" customFormat="false" ht="15" hidden="false" customHeight="false" outlineLevel="0" collapsed="false">
      <c r="A45" s="15" t="s">
        <v>438</v>
      </c>
      <c r="B45" s="15" t="s">
        <v>439</v>
      </c>
    </row>
    <row r="46" customFormat="false" ht="15" hidden="false" customHeight="false" outlineLevel="0" collapsed="false">
      <c r="A46" s="15" t="s">
        <v>440</v>
      </c>
      <c r="B46" s="15" t="s">
        <v>441</v>
      </c>
    </row>
    <row r="47" customFormat="false" ht="15" hidden="false" customHeight="false" outlineLevel="0" collapsed="false">
      <c r="A47" s="15" t="s">
        <v>442</v>
      </c>
      <c r="B47" s="15" t="s">
        <v>443</v>
      </c>
    </row>
    <row r="48" customFormat="false" ht="15" hidden="false" customHeight="false" outlineLevel="0" collapsed="false">
      <c r="A48" s="15" t="s">
        <v>444</v>
      </c>
      <c r="B48" s="15" t="s">
        <v>445</v>
      </c>
    </row>
    <row r="49" customFormat="false" ht="15" hidden="false" customHeight="false" outlineLevel="0" collapsed="false">
      <c r="A49" s="15" t="s">
        <v>446</v>
      </c>
      <c r="B49" s="15" t="s">
        <v>447</v>
      </c>
    </row>
    <row r="50" customFormat="false" ht="15" hidden="false" customHeight="false" outlineLevel="0" collapsed="false">
      <c r="A50" s="15" t="s">
        <v>448</v>
      </c>
      <c r="B50" s="15" t="s">
        <v>449</v>
      </c>
    </row>
    <row r="51" customFormat="false" ht="15" hidden="false" customHeight="false" outlineLevel="0" collapsed="false">
      <c r="A51" s="15" t="s">
        <v>450</v>
      </c>
      <c r="B51" s="15" t="s">
        <v>451</v>
      </c>
    </row>
  </sheetData>
  <mergeCells count="1">
    <mergeCell ref="A40:G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5" min="3" style="0" width="13"/>
    <col collapsed="false" customWidth="true" hidden="false" outlineLevel="0" max="6" min="6" style="0" width="17"/>
    <col collapsed="false" customWidth="true" hidden="false" outlineLevel="0" max="7" min="7" style="0" width="11"/>
    <col collapsed="false" customWidth="true" hidden="false" outlineLevel="0" max="8" min="8" style="0" width="15"/>
    <col collapsed="false" customWidth="true" hidden="false" outlineLevel="0" max="9" min="9" style="0" width="46"/>
  </cols>
  <sheetData>
    <row r="1" customFormat="false" ht="16.15" hidden="false" customHeight="false" outlineLevel="0" collapsed="false">
      <c r="A1" s="1" t="s">
        <v>452</v>
      </c>
    </row>
    <row r="2" customFormat="false" ht="15" hidden="false" customHeight="false" outlineLevel="0" collapsed="false">
      <c r="A2" s="2" t="s">
        <v>453</v>
      </c>
    </row>
    <row r="4" customFormat="false" ht="15" hidden="false" customHeight="false" outlineLevel="0" collapsed="false">
      <c r="A4" s="7" t="s">
        <v>232</v>
      </c>
      <c r="B4" s="7" t="s">
        <v>454</v>
      </c>
      <c r="C4" s="7" t="s">
        <v>455</v>
      </c>
      <c r="D4" s="7" t="s">
        <v>456</v>
      </c>
      <c r="E4" s="7" t="s">
        <v>213</v>
      </c>
      <c r="F4" s="7" t="s">
        <v>457</v>
      </c>
      <c r="G4" s="7" t="s">
        <v>176</v>
      </c>
      <c r="H4" s="7" t="s">
        <v>458</v>
      </c>
      <c r="I4" s="7" t="s">
        <v>88</v>
      </c>
    </row>
    <row r="5" customFormat="false" ht="15" hidden="false" customHeight="false" outlineLevel="0" collapsed="false">
      <c r="A5" s="8" t="s">
        <v>430</v>
      </c>
      <c r="B5" s="8" t="s">
        <v>459</v>
      </c>
      <c r="C5" s="8" t="n">
        <v>91</v>
      </c>
      <c r="D5" s="8" t="n">
        <v>93</v>
      </c>
      <c r="E5" s="8" t="s">
        <v>460</v>
      </c>
      <c r="F5" s="17" t="n">
        <v>92.46</v>
      </c>
      <c r="G5" s="18" t="str">
        <f aca="false">IF(AND(F5&gt;=C5,F5&lt;=D5),"PASS","REVIEW")</f>
        <v>PASS</v>
      </c>
      <c r="H5" s="8" t="s">
        <v>461</v>
      </c>
      <c r="I5" s="9"/>
    </row>
    <row r="6" customFormat="false" ht="23.85" hidden="false" customHeight="false" outlineLevel="0" collapsed="false">
      <c r="A6" s="8" t="s">
        <v>430</v>
      </c>
      <c r="B6" s="8" t="s">
        <v>462</v>
      </c>
      <c r="C6" s="8" t="n">
        <v>88</v>
      </c>
      <c r="D6" s="8" t="n">
        <v>92</v>
      </c>
      <c r="E6" s="8" t="s">
        <v>460</v>
      </c>
      <c r="F6" s="17" t="n">
        <v>88.97</v>
      </c>
      <c r="G6" s="18" t="str">
        <f aca="false">IF(AND(F6&gt;=C6,F6&lt;=D6),"PASS","REVIEW")</f>
        <v>PASS</v>
      </c>
      <c r="H6" s="8" t="s">
        <v>461</v>
      </c>
      <c r="I6" s="9" t="s">
        <v>463</v>
      </c>
    </row>
    <row r="7" customFormat="false" ht="15" hidden="false" customHeight="false" outlineLevel="0" collapsed="false">
      <c r="A7" s="8" t="s">
        <v>430</v>
      </c>
      <c r="B7" s="8" t="s">
        <v>464</v>
      </c>
      <c r="C7" s="8" t="n">
        <v>96</v>
      </c>
      <c r="D7" s="8" t="n">
        <v>98</v>
      </c>
      <c r="E7" s="8" t="s">
        <v>460</v>
      </c>
      <c r="F7" s="17" t="n">
        <v>97.54</v>
      </c>
      <c r="G7" s="18" t="str">
        <f aca="false">IF(AND(F7&gt;=C7,F7&lt;=D7),"PASS","REVIEW")</f>
        <v>PASS</v>
      </c>
      <c r="H7" s="8" t="s">
        <v>461</v>
      </c>
      <c r="I7" s="9"/>
    </row>
    <row r="8" customFormat="false" ht="15" hidden="false" customHeight="false" outlineLevel="0" collapsed="false">
      <c r="A8" s="8" t="s">
        <v>430</v>
      </c>
      <c r="B8" s="8" t="s">
        <v>465</v>
      </c>
      <c r="C8" s="8" t="n">
        <v>90</v>
      </c>
      <c r="D8" s="8" t="n">
        <v>100</v>
      </c>
      <c r="E8" s="8" t="s">
        <v>460</v>
      </c>
      <c r="F8" s="17" t="n">
        <v>100</v>
      </c>
      <c r="G8" s="18" t="str">
        <f aca="false">IF(AND(F8&gt;=C8,F8&lt;=D8),"PASS","REVIEW")</f>
        <v>PASS</v>
      </c>
      <c r="H8" s="8" t="s">
        <v>461</v>
      </c>
      <c r="I8" s="9" t="s">
        <v>466</v>
      </c>
    </row>
    <row r="9" customFormat="false" ht="15" hidden="false" customHeight="false" outlineLevel="0" collapsed="false">
      <c r="A9" s="8" t="s">
        <v>467</v>
      </c>
      <c r="B9" s="8" t="s">
        <v>468</v>
      </c>
      <c r="C9" s="8" t="n">
        <v>60</v>
      </c>
      <c r="D9" s="8" t="n">
        <v>70</v>
      </c>
      <c r="E9" s="8" t="s">
        <v>460</v>
      </c>
      <c r="F9" s="17" t="n">
        <v>66.32</v>
      </c>
      <c r="G9" s="18" t="str">
        <f aca="false">IF(AND(F9&gt;=C9,F9&lt;=D9),"PASS","REVIEW")</f>
        <v>PASS</v>
      </c>
      <c r="H9" s="8" t="s">
        <v>461</v>
      </c>
      <c r="I9" s="9"/>
    </row>
    <row r="10" customFormat="false" ht="15" hidden="false" customHeight="false" outlineLevel="0" collapsed="false">
      <c r="A10" s="8" t="s">
        <v>467</v>
      </c>
      <c r="B10" s="8" t="s">
        <v>469</v>
      </c>
      <c r="C10" s="8" t="n">
        <v>0.01</v>
      </c>
      <c r="D10" s="8" t="n">
        <v>100</v>
      </c>
      <c r="E10" s="8" t="s">
        <v>470</v>
      </c>
      <c r="F10" s="17" t="n">
        <v>3.21</v>
      </c>
      <c r="G10" s="18" t="str">
        <f aca="false">IF(AND(F10&gt;=C10,F10&lt;=D10),"PASS","REVIEW")</f>
        <v>PASS</v>
      </c>
      <c r="H10" s="8" t="s">
        <v>461</v>
      </c>
      <c r="I10" s="9" t="s">
        <v>471</v>
      </c>
    </row>
    <row r="11" customFormat="false" ht="15" hidden="false" customHeight="false" outlineLevel="0" collapsed="false">
      <c r="A11" s="8" t="s">
        <v>467</v>
      </c>
      <c r="B11" s="8" t="s">
        <v>472</v>
      </c>
      <c r="C11" s="8" t="n">
        <v>0.01</v>
      </c>
      <c r="D11" s="8" t="n">
        <v>100</v>
      </c>
      <c r="E11" s="8" t="s">
        <v>470</v>
      </c>
      <c r="F11" s="17" t="n">
        <v>5.86</v>
      </c>
      <c r="G11" s="18" t="str">
        <f aca="false">IF(AND(F11&gt;=C11,F11&lt;=D11),"PASS","REVIEW")</f>
        <v>PASS</v>
      </c>
      <c r="H11" s="8" t="s">
        <v>461</v>
      </c>
      <c r="I11" s="9" t="s">
        <v>473</v>
      </c>
    </row>
    <row r="12" customFormat="false" ht="15" hidden="false" customHeight="false" outlineLevel="0" collapsed="false">
      <c r="A12" s="8" t="s">
        <v>467</v>
      </c>
      <c r="B12" s="8" t="s">
        <v>474</v>
      </c>
      <c r="C12" s="8" t="n">
        <v>3</v>
      </c>
      <c r="D12" s="8" t="n">
        <v>100</v>
      </c>
      <c r="E12" s="8" t="s">
        <v>470</v>
      </c>
      <c r="F12" s="17" t="n">
        <v>8.32</v>
      </c>
      <c r="G12" s="18" t="str">
        <f aca="false">IF(AND(F12&gt;=C12,F12&lt;=D12),"PASS","REVIEW")</f>
        <v>PASS</v>
      </c>
      <c r="H12" s="8" t="s">
        <v>461</v>
      </c>
      <c r="I12" s="9" t="s">
        <v>475</v>
      </c>
    </row>
    <row r="13" customFormat="false" ht="15" hidden="false" customHeight="false" outlineLevel="0" collapsed="false">
      <c r="A13" s="8" t="s">
        <v>476</v>
      </c>
      <c r="B13" s="8" t="s">
        <v>477</v>
      </c>
      <c r="C13" s="8" t="n">
        <v>1</v>
      </c>
      <c r="D13" s="8" t="n">
        <v>1000000000</v>
      </c>
      <c r="E13" s="8" t="s">
        <v>478</v>
      </c>
      <c r="F13" s="17" t="n">
        <v>36933</v>
      </c>
      <c r="G13" s="18" t="str">
        <f aca="false">IF(AND(F13&gt;=C13,F13&lt;=D13),"PASS","REVIEW")</f>
        <v>PASS</v>
      </c>
      <c r="H13" s="8" t="s">
        <v>461</v>
      </c>
      <c r="I13" s="9" t="s">
        <v>479</v>
      </c>
    </row>
    <row r="14" customFormat="false" ht="15" hidden="false" customHeight="false" outlineLevel="0" collapsed="false">
      <c r="A14" s="8" t="s">
        <v>476</v>
      </c>
      <c r="B14" s="8" t="s">
        <v>480</v>
      </c>
      <c r="C14" s="8" t="n">
        <v>1</v>
      </c>
      <c r="D14" s="8" t="n">
        <v>1000000000</v>
      </c>
      <c r="E14" s="8" t="s">
        <v>478</v>
      </c>
      <c r="F14" s="17" t="n">
        <v>9562</v>
      </c>
      <c r="G14" s="18" t="str">
        <f aca="false">IF(AND(F14&gt;=C14,F14&lt;=D14),"PASS","REVIEW")</f>
        <v>PASS</v>
      </c>
      <c r="H14" s="8" t="s">
        <v>461</v>
      </c>
      <c r="I14" s="9" t="s">
        <v>481</v>
      </c>
    </row>
    <row r="15" customFormat="false" ht="15" hidden="false" customHeight="false" outlineLevel="0" collapsed="false">
      <c r="A15" s="8" t="s">
        <v>476</v>
      </c>
      <c r="B15" s="8" t="s">
        <v>482</v>
      </c>
      <c r="C15" s="8" t="n">
        <v>1</v>
      </c>
      <c r="D15" s="8" t="n">
        <v>1000000000</v>
      </c>
      <c r="E15" s="8" t="s">
        <v>478</v>
      </c>
      <c r="F15" s="17" t="n">
        <v>32022</v>
      </c>
      <c r="G15" s="18" t="str">
        <f aca="false">IF(AND(F15&gt;=C15,F15&lt;=D15),"PASS","REVIEW")</f>
        <v>PASS</v>
      </c>
      <c r="H15" s="8" t="s">
        <v>461</v>
      </c>
      <c r="I15" s="9"/>
    </row>
    <row r="16" customFormat="false" ht="23.85" hidden="false" customHeight="false" outlineLevel="0" collapsed="false">
      <c r="A16" s="8" t="s">
        <v>483</v>
      </c>
      <c r="B16" s="8" t="s">
        <v>484</v>
      </c>
      <c r="C16" s="8" t="n">
        <v>0</v>
      </c>
      <c r="D16" s="8" t="n">
        <v>0.7</v>
      </c>
      <c r="E16" s="8" t="s">
        <v>485</v>
      </c>
      <c r="F16" s="17" t="n">
        <v>0.518</v>
      </c>
      <c r="G16" s="18" t="str">
        <f aca="false">IF(AND(F16&gt;=C16,F16&lt;=D16),"PASS","REVIEW")</f>
        <v>PASS</v>
      </c>
      <c r="H16" s="8" t="s">
        <v>461</v>
      </c>
      <c r="I16" s="9" t="s">
        <v>486</v>
      </c>
    </row>
    <row r="17" customFormat="false" ht="15" hidden="false" customHeight="false" outlineLevel="0" collapsed="false">
      <c r="A17" s="8" t="s">
        <v>487</v>
      </c>
      <c r="B17" s="8" t="s">
        <v>488</v>
      </c>
      <c r="C17" s="8" t="n">
        <v>0</v>
      </c>
      <c r="D17" s="8" t="n">
        <v>5</v>
      </c>
      <c r="E17" s="8" t="s">
        <v>470</v>
      </c>
      <c r="F17" s="17" t="n">
        <v>0.73</v>
      </c>
      <c r="G17" s="18" t="str">
        <f aca="false">IF(AND(F17&gt;=C17,F17&lt;=D17),"PASS","REVIEW")</f>
        <v>PASS</v>
      </c>
      <c r="H17" s="8" t="s">
        <v>240</v>
      </c>
      <c r="I17" s="9" t="s">
        <v>489</v>
      </c>
    </row>
    <row r="18" customFormat="false" ht="15" hidden="false" customHeight="false" outlineLevel="0" collapsed="false">
      <c r="A18" s="8" t="s">
        <v>487</v>
      </c>
      <c r="B18" s="8" t="s">
        <v>490</v>
      </c>
      <c r="C18" s="8" t="n">
        <v>3</v>
      </c>
      <c r="D18" s="8" t="n">
        <v>5</v>
      </c>
      <c r="E18" s="8" t="s">
        <v>460</v>
      </c>
      <c r="F18" s="17" t="n">
        <v>3.61</v>
      </c>
      <c r="G18" s="18" t="str">
        <f aca="false">IF(AND(F18&gt;=C18,F18&lt;=D18),"PASS","REVIEW")</f>
        <v>PASS</v>
      </c>
      <c r="H18" s="8" t="s">
        <v>240</v>
      </c>
      <c r="I18" s="9"/>
    </row>
    <row r="19" customFormat="false" ht="15" hidden="false" customHeight="false" outlineLevel="0" collapsed="false">
      <c r="A19" s="8" t="s">
        <v>487</v>
      </c>
      <c r="B19" s="8" t="s">
        <v>491</v>
      </c>
      <c r="C19" s="8" t="n">
        <v>3</v>
      </c>
      <c r="D19" s="8" t="n">
        <v>5</v>
      </c>
      <c r="E19" s="8" t="s">
        <v>460</v>
      </c>
      <c r="F19" s="17" t="n">
        <v>3.64</v>
      </c>
      <c r="G19" s="18" t="str">
        <f aca="false">IF(AND(F19&gt;=C19,F19&lt;=D19),"PASS","REVIEW")</f>
        <v>PASS</v>
      </c>
      <c r="H19" s="8" t="s">
        <v>240</v>
      </c>
      <c r="I19" s="9"/>
    </row>
    <row r="20" customFormat="false" ht="15" hidden="false" customHeight="false" outlineLevel="0" collapsed="false">
      <c r="A20" s="8" t="s">
        <v>487</v>
      </c>
      <c r="B20" s="8" t="s">
        <v>492</v>
      </c>
      <c r="C20" s="8" t="n">
        <v>3</v>
      </c>
      <c r="D20" s="8" t="n">
        <v>5</v>
      </c>
      <c r="E20" s="8" t="s">
        <v>460</v>
      </c>
      <c r="F20" s="17" t="n">
        <v>3.01</v>
      </c>
      <c r="G20" s="18" t="str">
        <f aca="false">IF(AND(F20&gt;=C20,F20&lt;=D20),"PASS","REVIEW")</f>
        <v>PASS</v>
      </c>
      <c r="H20" s="8" t="s">
        <v>240</v>
      </c>
      <c r="I20" s="9"/>
    </row>
    <row r="21" customFormat="false" ht="15" hidden="false" customHeight="false" outlineLevel="0" collapsed="false">
      <c r="A21" s="8" t="s">
        <v>487</v>
      </c>
      <c r="B21" s="8" t="s">
        <v>493</v>
      </c>
      <c r="C21" s="8" t="n">
        <v>0.4</v>
      </c>
      <c r="D21" s="8" t="n">
        <v>0.6</v>
      </c>
      <c r="E21" s="8" t="s">
        <v>494</v>
      </c>
      <c r="F21" s="17" t="n">
        <v>0.492</v>
      </c>
      <c r="G21" s="18" t="str">
        <f aca="false">IF(AND(F21&gt;=C21,F21&lt;=D21),"PASS","REVIEW")</f>
        <v>PASS</v>
      </c>
      <c r="H21" s="8" t="s">
        <v>240</v>
      </c>
      <c r="I21" s="9" t="s">
        <v>495</v>
      </c>
    </row>
    <row r="22" customFormat="false" ht="15" hidden="false" customHeight="false" outlineLevel="0" collapsed="false">
      <c r="A22" s="8" t="s">
        <v>487</v>
      </c>
      <c r="B22" s="8" t="s">
        <v>496</v>
      </c>
      <c r="C22" s="8" t="n">
        <v>0.4</v>
      </c>
      <c r="D22" s="8" t="n">
        <v>0.6</v>
      </c>
      <c r="E22" s="8" t="s">
        <v>494</v>
      </c>
      <c r="F22" s="17" t="n">
        <v>0.454</v>
      </c>
      <c r="G22" s="18" t="str">
        <f aca="false">IF(AND(F22&gt;=C22,F22&lt;=D22),"PASS","REVIEW")</f>
        <v>PASS</v>
      </c>
      <c r="H22" s="8" t="s">
        <v>240</v>
      </c>
      <c r="I22" s="9" t="s">
        <v>495</v>
      </c>
    </row>
    <row r="23" customFormat="false" ht="15" hidden="false" customHeight="false" outlineLevel="0" collapsed="false">
      <c r="A23" s="8" t="s">
        <v>487</v>
      </c>
      <c r="B23" s="8" t="s">
        <v>497</v>
      </c>
      <c r="C23" s="8" t="n">
        <v>0.4</v>
      </c>
      <c r="D23" s="8" t="n">
        <v>0.6</v>
      </c>
      <c r="E23" s="8" t="s">
        <v>494</v>
      </c>
      <c r="F23" s="17" t="n">
        <v>0.496</v>
      </c>
      <c r="G23" s="18" t="str">
        <f aca="false">IF(AND(F23&gt;=C23,F23&lt;=D23),"PASS","REVIEW")</f>
        <v>PASS</v>
      </c>
      <c r="H23" s="8" t="s">
        <v>240</v>
      </c>
      <c r="I23" s="9" t="s">
        <v>495</v>
      </c>
    </row>
    <row r="24" customFormat="false" ht="15" hidden="false" customHeight="false" outlineLevel="0" collapsed="false">
      <c r="A24" s="8" t="s">
        <v>498</v>
      </c>
      <c r="B24" s="8" t="s">
        <v>499</v>
      </c>
      <c r="C24" s="8" t="n">
        <v>5.4999</v>
      </c>
      <c r="D24" s="8" t="n">
        <v>5.5001</v>
      </c>
      <c r="E24" s="8" t="s">
        <v>460</v>
      </c>
      <c r="F24" s="17" t="n">
        <v>5.5</v>
      </c>
      <c r="G24" s="18" t="str">
        <f aca="false">IF(AND(F24&gt;=C24,F24&lt;=D24),"PASS","REVIEW")</f>
        <v>PASS</v>
      </c>
      <c r="H24" s="8" t="s">
        <v>240</v>
      </c>
      <c r="I24" s="9" t="s">
        <v>500</v>
      </c>
    </row>
    <row r="25" customFormat="false" ht="15" hidden="false" customHeight="false" outlineLevel="0" collapsed="false">
      <c r="A25" s="8" t="s">
        <v>498</v>
      </c>
      <c r="B25" s="8" t="s">
        <v>501</v>
      </c>
      <c r="C25" s="8" t="n">
        <v>6.4999</v>
      </c>
      <c r="D25" s="8" t="n">
        <v>6.5001</v>
      </c>
      <c r="E25" s="8" t="s">
        <v>460</v>
      </c>
      <c r="F25" s="17" t="n">
        <v>6.5</v>
      </c>
      <c r="G25" s="18" t="str">
        <f aca="false">IF(AND(F25&gt;=C25,F25&lt;=D25),"PASS","REVIEW")</f>
        <v>PASS</v>
      </c>
      <c r="H25" s="8" t="s">
        <v>240</v>
      </c>
      <c r="I25" s="9"/>
    </row>
    <row r="26" customFormat="false" ht="15" hidden="false" customHeight="false" outlineLevel="0" collapsed="false">
      <c r="A26" s="8" t="s">
        <v>498</v>
      </c>
      <c r="B26" s="8" t="s">
        <v>502</v>
      </c>
      <c r="C26" s="8" t="n">
        <v>3.9999</v>
      </c>
      <c r="D26" s="8" t="n">
        <v>4.0001</v>
      </c>
      <c r="E26" s="8" t="s">
        <v>460</v>
      </c>
      <c r="F26" s="17" t="n">
        <v>4</v>
      </c>
      <c r="G26" s="18" t="str">
        <f aca="false">IF(AND(F26&gt;=C26,F26&lt;=D26),"PASS","REVIEW")</f>
        <v>PASS</v>
      </c>
      <c r="H26" s="8" t="s">
        <v>240</v>
      </c>
      <c r="I26" s="9"/>
    </row>
    <row r="27" customFormat="false" ht="15" hidden="false" customHeight="false" outlineLevel="0" collapsed="false">
      <c r="A27" s="8" t="s">
        <v>503</v>
      </c>
      <c r="B27" s="8" t="s">
        <v>504</v>
      </c>
      <c r="C27" s="8" t="n">
        <v>29</v>
      </c>
      <c r="D27" s="8" t="n">
        <v>31</v>
      </c>
      <c r="E27" s="8" t="s">
        <v>460</v>
      </c>
      <c r="F27" s="17" t="n">
        <v>30.47</v>
      </c>
      <c r="G27" s="18" t="str">
        <f aca="false">IF(AND(F27&gt;=C27,F27&lt;=D27),"PASS","REVIEW")</f>
        <v>PASS</v>
      </c>
      <c r="H27" s="8" t="s">
        <v>240</v>
      </c>
      <c r="I27" s="9"/>
    </row>
    <row r="28" customFormat="false" ht="15" hidden="false" customHeight="false" outlineLevel="0" collapsed="false">
      <c r="A28" s="8" t="s">
        <v>503</v>
      </c>
      <c r="B28" s="8" t="s">
        <v>505</v>
      </c>
      <c r="C28" s="8" t="n">
        <v>69</v>
      </c>
      <c r="D28" s="8" t="n">
        <v>71</v>
      </c>
      <c r="E28" s="8" t="s">
        <v>460</v>
      </c>
      <c r="F28" s="17" t="n">
        <v>69.53</v>
      </c>
      <c r="G28" s="18" t="str">
        <f aca="false">IF(AND(F28&gt;=C28,F28&lt;=D28),"PASS","REVIEW")</f>
        <v>PASS</v>
      </c>
      <c r="H28" s="8" t="s">
        <v>240</v>
      </c>
      <c r="I28" s="9"/>
    </row>
    <row r="29" customFormat="false" ht="15" hidden="false" customHeight="false" outlineLevel="0" collapsed="false">
      <c r="A29" s="8" t="s">
        <v>506</v>
      </c>
      <c r="B29" s="8" t="s">
        <v>507</v>
      </c>
      <c r="C29" s="8" t="n">
        <v>0.01</v>
      </c>
      <c r="D29" s="8" t="n">
        <v>100</v>
      </c>
      <c r="E29" s="8" t="s">
        <v>470</v>
      </c>
      <c r="F29" s="17" t="n">
        <v>7.3</v>
      </c>
      <c r="G29" s="18" t="str">
        <f aca="false">IF(AND(F29&gt;=C29,F29&lt;=D29),"PASS","REVIEW")</f>
        <v>PASS</v>
      </c>
      <c r="H29" s="8" t="s">
        <v>240</v>
      </c>
      <c r="I29" s="9" t="s">
        <v>508</v>
      </c>
    </row>
    <row r="32" customFormat="false" ht="15" hidden="false" customHeight="false" outlineLevel="0" collapsed="false">
      <c r="A32" s="5" t="s">
        <v>509</v>
      </c>
    </row>
    <row r="33" customFormat="false" ht="15" hidden="false" customHeight="false" outlineLevel="0" collapsed="false">
      <c r="A33" s="14" t="s">
        <v>510</v>
      </c>
      <c r="B33" s="14" t="s">
        <v>511</v>
      </c>
      <c r="C33" s="14" t="s">
        <v>512</v>
      </c>
    </row>
    <row r="34" customFormat="false" ht="15" hidden="false" customHeight="false" outlineLevel="0" collapsed="false">
      <c r="A34" s="15" t="s">
        <v>513</v>
      </c>
      <c r="B34" s="15" t="n">
        <v>100</v>
      </c>
      <c r="C34" s="15" t="n">
        <v>0</v>
      </c>
    </row>
    <row r="35" customFormat="false" ht="15" hidden="false" customHeight="false" outlineLevel="0" collapsed="false">
      <c r="A35" s="15" t="s">
        <v>514</v>
      </c>
      <c r="B35" s="15" t="n">
        <v>99.27</v>
      </c>
      <c r="C35" s="15" t="n">
        <v>0.58</v>
      </c>
    </row>
    <row r="36" customFormat="false" ht="15" hidden="false" customHeight="false" outlineLevel="0" collapsed="false">
      <c r="A36" s="15" t="s">
        <v>515</v>
      </c>
      <c r="B36" s="15" t="n">
        <v>99.52</v>
      </c>
      <c r="C36" s="15" t="n">
        <v>0.52</v>
      </c>
    </row>
    <row r="37" customFormat="false" ht="15" hidden="false" customHeight="false" outlineLevel="0" collapsed="false">
      <c r="A37" s="15" t="s">
        <v>516</v>
      </c>
      <c r="B37" s="15" t="n">
        <v>99.73</v>
      </c>
      <c r="C37" s="15" t="n">
        <v>0.37</v>
      </c>
    </row>
    <row r="38" customFormat="false" ht="15" hidden="false" customHeight="false" outlineLevel="0" collapsed="false">
      <c r="A38" s="15" t="s">
        <v>517</v>
      </c>
      <c r="B38" s="15" t="n">
        <v>98.47</v>
      </c>
      <c r="C38" s="15" t="n">
        <v>2.36</v>
      </c>
    </row>
    <row r="39" customFormat="false" ht="15" hidden="false" customHeight="false" outlineLevel="0" collapsed="false">
      <c r="A39" s="15" t="s">
        <v>518</v>
      </c>
      <c r="B39" s="15" t="n">
        <v>84.21</v>
      </c>
      <c r="C39" s="15" t="n">
        <v>26.49</v>
      </c>
    </row>
    <row r="40" customFormat="false" ht="15" hidden="false" customHeight="false" outlineLevel="0" collapsed="false">
      <c r="A40" s="15" t="s">
        <v>519</v>
      </c>
      <c r="B40" s="15" t="n">
        <v>73.38</v>
      </c>
      <c r="C40" s="15" t="n">
        <v>36.57</v>
      </c>
    </row>
    <row r="41" customFormat="false" ht="15" hidden="false" customHeight="false" outlineLevel="0" collapsed="false">
      <c r="A41" s="15" t="s">
        <v>520</v>
      </c>
      <c r="B41" s="15" t="n">
        <v>83.91</v>
      </c>
      <c r="C41" s="15" t="n">
        <v>18.31</v>
      </c>
    </row>
    <row r="42" customFormat="false" ht="15" hidden="false" customHeight="false" outlineLevel="0" collapsed="false">
      <c r="A42" s="15" t="s">
        <v>521</v>
      </c>
      <c r="B42" s="15" t="n">
        <v>91.66</v>
      </c>
      <c r="C42" s="15" t="n">
        <v>8.66</v>
      </c>
    </row>
    <row r="43" customFormat="false" ht="15" hidden="false" customHeight="false" outlineLevel="0" collapsed="false">
      <c r="A43" s="15" t="s">
        <v>522</v>
      </c>
      <c r="B43" s="15" t="n">
        <v>96.1</v>
      </c>
      <c r="C43" s="15" t="n">
        <v>3.44</v>
      </c>
    </row>
    <row r="44" customFormat="false" ht="15" hidden="false" customHeight="false" outlineLevel="0" collapsed="false">
      <c r="A44" s="15" t="s">
        <v>523</v>
      </c>
      <c r="B44" s="15" t="n">
        <v>98.6</v>
      </c>
      <c r="C44" s="15" t="n">
        <v>1.2</v>
      </c>
    </row>
    <row r="45" customFormat="false" ht="15" hidden="false" customHeight="false" outlineLevel="0" collapsed="false">
      <c r="A45" s="15" t="s">
        <v>524</v>
      </c>
      <c r="B45" s="15" t="n">
        <v>98.01</v>
      </c>
      <c r="C45" s="15" t="n">
        <v>1.49</v>
      </c>
    </row>
    <row r="47" customFormat="false" ht="15" hidden="false" customHeight="true" outlineLevel="0" collapsed="false">
      <c r="A47" s="13" t="s">
        <v>525</v>
      </c>
      <c r="B47" s="13"/>
      <c r="C47" s="13"/>
      <c r="D47" s="13"/>
      <c r="E47" s="13"/>
      <c r="F47" s="13"/>
      <c r="G47" s="13"/>
      <c r="H47" s="13"/>
      <c r="I47" s="13"/>
    </row>
    <row r="48" customFormat="false" ht="15" hidden="false" customHeight="false" outlineLevel="0" collapsed="false">
      <c r="A48" s="13"/>
      <c r="B48" s="13"/>
      <c r="C48" s="13"/>
      <c r="D48" s="13"/>
      <c r="E48" s="13"/>
      <c r="F48" s="13"/>
      <c r="G48" s="13"/>
      <c r="H48" s="13"/>
      <c r="I48" s="13"/>
    </row>
  </sheetData>
  <mergeCells count="1">
    <mergeCell ref="A47:I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4"/>
    <col collapsed="false" customWidth="true" hidden="false" outlineLevel="0" max="3" min="3" style="0" width="44"/>
    <col collapsed="false" customWidth="true" hidden="false" outlineLevel="0" max="4" min="4" style="0" width="20"/>
    <col collapsed="false" customWidth="true" hidden="false" outlineLevel="0" max="5" min="5" style="0" width="24"/>
    <col collapsed="false" customWidth="true" hidden="false" outlineLevel="0" max="6" min="6" style="0" width="34"/>
    <col collapsed="false" customWidth="true" hidden="false" outlineLevel="0" max="7" min="7" style="0" width="20"/>
    <col collapsed="false" customWidth="true" hidden="false" outlineLevel="0" max="8" min="8" style="0" width="78"/>
    <col collapsed="false" customWidth="true" hidden="false" outlineLevel="0" max="9" min="9" style="0" width="20"/>
  </cols>
  <sheetData>
    <row r="1" customFormat="false" ht="16.15" hidden="false" customHeight="false" outlineLevel="0" collapsed="false">
      <c r="A1" s="1" t="s">
        <v>526</v>
      </c>
    </row>
    <row r="2" customFormat="false" ht="15" hidden="false" customHeight="false" outlineLevel="0" collapsed="false">
      <c r="A2" s="2" t="s">
        <v>527</v>
      </c>
    </row>
    <row r="4" customFormat="false" ht="15" hidden="false" customHeight="false" outlineLevel="0" collapsed="false">
      <c r="A4" s="7" t="s">
        <v>232</v>
      </c>
      <c r="B4" s="7" t="s">
        <v>211</v>
      </c>
      <c r="C4" s="7" t="s">
        <v>212</v>
      </c>
      <c r="D4" s="7" t="s">
        <v>213</v>
      </c>
      <c r="E4" s="7" t="s">
        <v>63</v>
      </c>
      <c r="F4" s="7" t="s">
        <v>528</v>
      </c>
      <c r="G4" s="7" t="s">
        <v>529</v>
      </c>
      <c r="H4" s="7" t="s">
        <v>235</v>
      </c>
      <c r="I4" s="7" t="s">
        <v>176</v>
      </c>
    </row>
    <row r="5" customFormat="false" ht="15" hidden="false" customHeight="false" outlineLevel="0" collapsed="false">
      <c r="A5" s="8" t="s">
        <v>498</v>
      </c>
      <c r="B5" s="8" t="s">
        <v>530</v>
      </c>
      <c r="C5" s="9" t="s">
        <v>14</v>
      </c>
      <c r="D5" s="8" t="s">
        <v>239</v>
      </c>
      <c r="E5" s="8" t="s">
        <v>68</v>
      </c>
      <c r="F5" s="9" t="s">
        <v>531</v>
      </c>
      <c r="G5" s="8" t="s">
        <v>532</v>
      </c>
      <c r="H5" s="9" t="s">
        <v>533</v>
      </c>
      <c r="I5" s="8" t="s">
        <v>534</v>
      </c>
    </row>
    <row r="6" customFormat="false" ht="15" hidden="false" customHeight="false" outlineLevel="0" collapsed="false">
      <c r="A6" s="8" t="s">
        <v>487</v>
      </c>
      <c r="B6" s="8" t="s">
        <v>535</v>
      </c>
      <c r="C6" s="9" t="s">
        <v>331</v>
      </c>
      <c r="D6" s="8" t="s">
        <v>308</v>
      </c>
      <c r="E6" s="8" t="s">
        <v>68</v>
      </c>
      <c r="F6" s="9" t="s">
        <v>536</v>
      </c>
      <c r="G6" s="8" t="s">
        <v>532</v>
      </c>
      <c r="H6" s="9" t="s">
        <v>537</v>
      </c>
      <c r="I6" s="8" t="s">
        <v>534</v>
      </c>
    </row>
    <row r="7" customFormat="false" ht="15" hidden="false" customHeight="false" outlineLevel="0" collapsed="false">
      <c r="A7" s="8" t="s">
        <v>487</v>
      </c>
      <c r="B7" s="8" t="s">
        <v>538</v>
      </c>
      <c r="C7" s="9" t="s">
        <v>539</v>
      </c>
      <c r="D7" s="8" t="s">
        <v>239</v>
      </c>
      <c r="E7" s="8" t="s">
        <v>540</v>
      </c>
      <c r="F7" s="9" t="s">
        <v>541</v>
      </c>
      <c r="G7" s="8" t="s">
        <v>532</v>
      </c>
      <c r="H7" s="9" t="s">
        <v>542</v>
      </c>
      <c r="I7" s="8" t="s">
        <v>534</v>
      </c>
    </row>
    <row r="8" customFormat="false" ht="15" hidden="false" customHeight="false" outlineLevel="0" collapsed="false">
      <c r="A8" s="8" t="s">
        <v>476</v>
      </c>
      <c r="B8" s="8" t="s">
        <v>543</v>
      </c>
      <c r="C8" s="9" t="s">
        <v>544</v>
      </c>
      <c r="D8" s="8" t="s">
        <v>308</v>
      </c>
      <c r="E8" s="8" t="s">
        <v>68</v>
      </c>
      <c r="F8" s="9" t="s">
        <v>545</v>
      </c>
      <c r="G8" s="8" t="s">
        <v>546</v>
      </c>
      <c r="H8" s="9" t="s">
        <v>547</v>
      </c>
      <c r="I8" s="8" t="s">
        <v>548</v>
      </c>
    </row>
    <row r="9" customFormat="false" ht="15" hidden="false" customHeight="false" outlineLevel="0" collapsed="false">
      <c r="A9" s="8" t="s">
        <v>476</v>
      </c>
      <c r="B9" s="8" t="s">
        <v>549</v>
      </c>
      <c r="C9" s="9" t="s">
        <v>550</v>
      </c>
      <c r="D9" s="8" t="s">
        <v>551</v>
      </c>
      <c r="E9" s="8" t="s">
        <v>68</v>
      </c>
      <c r="F9" s="9" t="s">
        <v>545</v>
      </c>
      <c r="G9" s="8" t="s">
        <v>546</v>
      </c>
      <c r="H9" s="9" t="s">
        <v>552</v>
      </c>
      <c r="I9" s="8" t="s">
        <v>553</v>
      </c>
    </row>
    <row r="10" customFormat="false" ht="15" hidden="false" customHeight="false" outlineLevel="0" collapsed="false">
      <c r="A10" s="8" t="s">
        <v>476</v>
      </c>
      <c r="B10" s="8" t="s">
        <v>411</v>
      </c>
      <c r="C10" s="9" t="n">
        <v>0.08</v>
      </c>
      <c r="D10" s="8" t="s">
        <v>308</v>
      </c>
      <c r="E10" s="8" t="s">
        <v>68</v>
      </c>
      <c r="F10" s="9" t="s">
        <v>554</v>
      </c>
      <c r="G10" s="8" t="s">
        <v>555</v>
      </c>
      <c r="H10" s="9" t="s">
        <v>556</v>
      </c>
      <c r="I10" s="8" t="s">
        <v>557</v>
      </c>
    </row>
    <row r="11" customFormat="false" ht="15" hidden="false" customHeight="false" outlineLevel="0" collapsed="false">
      <c r="A11" s="8" t="s">
        <v>558</v>
      </c>
      <c r="B11" s="8" t="s">
        <v>559</v>
      </c>
      <c r="C11" s="9" t="n">
        <v>0.85</v>
      </c>
      <c r="D11" s="8" t="s">
        <v>308</v>
      </c>
      <c r="E11" s="8" t="s">
        <v>68</v>
      </c>
      <c r="F11" s="9" t="s">
        <v>560</v>
      </c>
      <c r="G11" s="8" t="s">
        <v>561</v>
      </c>
      <c r="H11" s="9" t="s">
        <v>562</v>
      </c>
      <c r="I11" s="8" t="s">
        <v>534</v>
      </c>
    </row>
    <row r="12" customFormat="false" ht="15" hidden="false" customHeight="false" outlineLevel="0" collapsed="false">
      <c r="A12" s="8" t="s">
        <v>558</v>
      </c>
      <c r="B12" s="8" t="s">
        <v>563</v>
      </c>
      <c r="C12" s="9" t="n">
        <v>0.9</v>
      </c>
      <c r="D12" s="8" t="s">
        <v>308</v>
      </c>
      <c r="E12" s="8" t="s">
        <v>68</v>
      </c>
      <c r="F12" s="9" t="s">
        <v>560</v>
      </c>
      <c r="G12" s="8" t="s">
        <v>561</v>
      </c>
      <c r="H12" s="9" t="s">
        <v>562</v>
      </c>
      <c r="I12" s="8" t="s">
        <v>534</v>
      </c>
    </row>
    <row r="13" customFormat="false" ht="15" hidden="false" customHeight="false" outlineLevel="0" collapsed="false">
      <c r="A13" s="8" t="s">
        <v>558</v>
      </c>
      <c r="B13" s="8" t="s">
        <v>564</v>
      </c>
      <c r="C13" s="9" t="n">
        <v>0.5</v>
      </c>
      <c r="D13" s="8" t="s">
        <v>308</v>
      </c>
      <c r="E13" s="8" t="s">
        <v>68</v>
      </c>
      <c r="F13" s="9" t="s">
        <v>560</v>
      </c>
      <c r="G13" s="8" t="s">
        <v>561</v>
      </c>
      <c r="H13" s="9" t="s">
        <v>565</v>
      </c>
      <c r="I13" s="8" t="s">
        <v>534</v>
      </c>
    </row>
    <row r="14" customFormat="false" ht="15" hidden="false" customHeight="false" outlineLevel="0" collapsed="false">
      <c r="A14" s="8" t="s">
        <v>566</v>
      </c>
      <c r="B14" s="8" t="s">
        <v>567</v>
      </c>
      <c r="C14" s="9" t="n">
        <v>0.18</v>
      </c>
      <c r="D14" s="8" t="s">
        <v>568</v>
      </c>
      <c r="E14" s="8" t="s">
        <v>68</v>
      </c>
      <c r="F14" s="9" t="s">
        <v>569</v>
      </c>
      <c r="G14" s="8" t="s">
        <v>570</v>
      </c>
      <c r="H14" s="9" t="s">
        <v>571</v>
      </c>
      <c r="I14" s="8" t="s">
        <v>534</v>
      </c>
    </row>
    <row r="15" customFormat="false" ht="15" hidden="false" customHeight="false" outlineLevel="0" collapsed="false">
      <c r="A15" s="8" t="s">
        <v>566</v>
      </c>
      <c r="B15" s="8" t="s">
        <v>572</v>
      </c>
      <c r="C15" s="9" t="n">
        <v>0.45</v>
      </c>
      <c r="D15" s="8" t="s">
        <v>216</v>
      </c>
      <c r="E15" s="8" t="s">
        <v>68</v>
      </c>
      <c r="F15" s="9" t="s">
        <v>569</v>
      </c>
      <c r="G15" s="8" t="s">
        <v>570</v>
      </c>
      <c r="H15" s="9" t="s">
        <v>573</v>
      </c>
      <c r="I15" s="8" t="s">
        <v>534</v>
      </c>
    </row>
    <row r="16" customFormat="false" ht="15" hidden="false" customHeight="false" outlineLevel="0" collapsed="false">
      <c r="A16" s="10" t="s">
        <v>487</v>
      </c>
      <c r="B16" s="10" t="s">
        <v>574</v>
      </c>
      <c r="C16" s="11" t="s">
        <v>238</v>
      </c>
      <c r="D16" s="10" t="s">
        <v>239</v>
      </c>
      <c r="E16" s="10" t="s">
        <v>68</v>
      </c>
      <c r="F16" s="11" t="s">
        <v>575</v>
      </c>
      <c r="G16" s="10" t="s">
        <v>240</v>
      </c>
      <c r="H16" s="11" t="s">
        <v>576</v>
      </c>
      <c r="I16" s="10" t="s">
        <v>577</v>
      </c>
    </row>
    <row r="17" customFormat="false" ht="15" hidden="false" customHeight="false" outlineLevel="0" collapsed="false">
      <c r="A17" s="10" t="s">
        <v>487</v>
      </c>
      <c r="B17" s="10" t="s">
        <v>243</v>
      </c>
      <c r="C17" s="11" t="n">
        <v>0.2</v>
      </c>
      <c r="D17" s="10" t="s">
        <v>244</v>
      </c>
      <c r="E17" s="10" t="s">
        <v>68</v>
      </c>
      <c r="F17" s="11" t="s">
        <v>578</v>
      </c>
      <c r="G17" s="10" t="s">
        <v>240</v>
      </c>
      <c r="H17" s="11" t="s">
        <v>579</v>
      </c>
      <c r="I17" s="10" t="s">
        <v>577</v>
      </c>
    </row>
    <row r="18" customFormat="false" ht="15" hidden="false" customHeight="false" outlineLevel="0" collapsed="false">
      <c r="A18" s="10" t="s">
        <v>487</v>
      </c>
      <c r="B18" s="10" t="s">
        <v>247</v>
      </c>
      <c r="C18" s="11" t="n">
        <v>0.215</v>
      </c>
      <c r="D18" s="10" t="s">
        <v>580</v>
      </c>
      <c r="E18" s="10" t="s">
        <v>68</v>
      </c>
      <c r="F18" s="11" t="s">
        <v>578</v>
      </c>
      <c r="G18" s="10" t="s">
        <v>240</v>
      </c>
      <c r="H18" s="11" t="s">
        <v>581</v>
      </c>
      <c r="I18" s="10" t="s">
        <v>577</v>
      </c>
    </row>
    <row r="19" customFormat="false" ht="15" hidden="false" customHeight="false" outlineLevel="0" collapsed="false">
      <c r="A19" s="10" t="s">
        <v>487</v>
      </c>
      <c r="B19" s="10" t="s">
        <v>250</v>
      </c>
      <c r="C19" s="11" t="n">
        <v>0.215</v>
      </c>
      <c r="D19" s="10" t="s">
        <v>580</v>
      </c>
      <c r="E19" s="10" t="s">
        <v>68</v>
      </c>
      <c r="F19" s="11" t="s">
        <v>578</v>
      </c>
      <c r="G19" s="10" t="s">
        <v>240</v>
      </c>
      <c r="H19" s="11" t="s">
        <v>581</v>
      </c>
      <c r="I19" s="10" t="s">
        <v>577</v>
      </c>
    </row>
    <row r="20" customFormat="false" ht="15" hidden="false" customHeight="false" outlineLevel="0" collapsed="false">
      <c r="A20" s="10" t="s">
        <v>487</v>
      </c>
      <c r="B20" s="10" t="s">
        <v>252</v>
      </c>
      <c r="C20" s="11" t="n">
        <v>0.292</v>
      </c>
      <c r="D20" s="10" t="s">
        <v>580</v>
      </c>
      <c r="E20" s="10" t="s">
        <v>68</v>
      </c>
      <c r="F20" s="11" t="s">
        <v>578</v>
      </c>
      <c r="G20" s="10" t="s">
        <v>240</v>
      </c>
      <c r="H20" s="11" t="s">
        <v>582</v>
      </c>
      <c r="I20" s="10" t="s">
        <v>577</v>
      </c>
    </row>
    <row r="21" customFormat="false" ht="15" hidden="false" customHeight="false" outlineLevel="0" collapsed="false">
      <c r="A21" s="10" t="s">
        <v>487</v>
      </c>
      <c r="B21" s="10" t="s">
        <v>261</v>
      </c>
      <c r="C21" s="11" t="s">
        <v>583</v>
      </c>
      <c r="D21" s="10" t="s">
        <v>263</v>
      </c>
      <c r="E21" s="10" t="s">
        <v>264</v>
      </c>
      <c r="F21" s="11" t="s">
        <v>584</v>
      </c>
      <c r="G21" s="10" t="s">
        <v>240</v>
      </c>
      <c r="H21" s="11" t="s">
        <v>585</v>
      </c>
      <c r="I21" s="10" t="s">
        <v>577</v>
      </c>
    </row>
    <row r="22" customFormat="false" ht="15" hidden="false" customHeight="false" outlineLevel="0" collapsed="false">
      <c r="A22" s="10" t="s">
        <v>487</v>
      </c>
      <c r="B22" s="10" t="s">
        <v>266</v>
      </c>
      <c r="C22" s="11" t="s">
        <v>586</v>
      </c>
      <c r="D22" s="10" t="s">
        <v>268</v>
      </c>
      <c r="E22" s="10" t="s">
        <v>264</v>
      </c>
      <c r="F22" s="11" t="s">
        <v>584</v>
      </c>
      <c r="G22" s="10" t="s">
        <v>240</v>
      </c>
      <c r="H22" s="11" t="s">
        <v>587</v>
      </c>
      <c r="I22" s="10" t="s">
        <v>577</v>
      </c>
    </row>
    <row r="23" customFormat="false" ht="15" hidden="false" customHeight="false" outlineLevel="0" collapsed="false">
      <c r="A23" s="10" t="s">
        <v>487</v>
      </c>
      <c r="B23" s="10" t="s">
        <v>270</v>
      </c>
      <c r="C23" s="11" t="s">
        <v>588</v>
      </c>
      <c r="D23" s="10" t="s">
        <v>263</v>
      </c>
      <c r="E23" s="10" t="s">
        <v>264</v>
      </c>
      <c r="F23" s="11" t="s">
        <v>589</v>
      </c>
      <c r="G23" s="10" t="s">
        <v>240</v>
      </c>
      <c r="H23" s="11" t="s">
        <v>590</v>
      </c>
      <c r="I23" s="10" t="s">
        <v>577</v>
      </c>
    </row>
    <row r="24" customFormat="false" ht="15" hidden="false" customHeight="false" outlineLevel="0" collapsed="false">
      <c r="A24" s="10" t="s">
        <v>487</v>
      </c>
      <c r="B24" s="10" t="s">
        <v>273</v>
      </c>
      <c r="C24" s="11" t="s">
        <v>591</v>
      </c>
      <c r="D24" s="10" t="s">
        <v>268</v>
      </c>
      <c r="E24" s="10" t="s">
        <v>264</v>
      </c>
      <c r="F24" s="11" t="s">
        <v>589</v>
      </c>
      <c r="G24" s="10" t="s">
        <v>240</v>
      </c>
      <c r="H24" s="11" t="s">
        <v>592</v>
      </c>
      <c r="I24" s="10" t="s">
        <v>577</v>
      </c>
    </row>
    <row r="25" customFormat="false" ht="15" hidden="false" customHeight="false" outlineLevel="0" collapsed="false">
      <c r="A25" s="10" t="s">
        <v>487</v>
      </c>
      <c r="B25" s="10" t="s">
        <v>276</v>
      </c>
      <c r="C25" s="11" t="s">
        <v>593</v>
      </c>
      <c r="D25" s="10" t="s">
        <v>268</v>
      </c>
      <c r="E25" s="10" t="s">
        <v>264</v>
      </c>
      <c r="F25" s="11" t="s">
        <v>589</v>
      </c>
      <c r="G25" s="10" t="s">
        <v>240</v>
      </c>
      <c r="H25" s="11" t="s">
        <v>594</v>
      </c>
      <c r="I25" s="10" t="s">
        <v>577</v>
      </c>
    </row>
    <row r="26" customFormat="false" ht="15" hidden="false" customHeight="false" outlineLevel="0" collapsed="false">
      <c r="A26" s="10" t="s">
        <v>487</v>
      </c>
      <c r="B26" s="10" t="s">
        <v>279</v>
      </c>
      <c r="C26" s="11" t="s">
        <v>595</v>
      </c>
      <c r="D26" s="10" t="s">
        <v>263</v>
      </c>
      <c r="E26" s="10" t="s">
        <v>264</v>
      </c>
      <c r="F26" s="11" t="s">
        <v>584</v>
      </c>
      <c r="G26" s="10" t="s">
        <v>240</v>
      </c>
      <c r="H26" s="11" t="s">
        <v>596</v>
      </c>
      <c r="I26" s="10" t="s">
        <v>577</v>
      </c>
    </row>
    <row r="27" customFormat="false" ht="15" hidden="false" customHeight="false" outlineLevel="0" collapsed="false">
      <c r="A27" s="10" t="s">
        <v>487</v>
      </c>
      <c r="B27" s="10" t="s">
        <v>282</v>
      </c>
      <c r="C27" s="11" t="s">
        <v>597</v>
      </c>
      <c r="D27" s="10" t="s">
        <v>263</v>
      </c>
      <c r="E27" s="10" t="s">
        <v>264</v>
      </c>
      <c r="F27" s="11" t="s">
        <v>589</v>
      </c>
      <c r="G27" s="10" t="s">
        <v>240</v>
      </c>
      <c r="H27" s="11" t="s">
        <v>598</v>
      </c>
      <c r="I27" s="10" t="s">
        <v>577</v>
      </c>
    </row>
    <row r="28" customFormat="false" ht="15" hidden="false" customHeight="false" outlineLevel="0" collapsed="false">
      <c r="A28" s="10" t="s">
        <v>487</v>
      </c>
      <c r="B28" s="10" t="s">
        <v>599</v>
      </c>
      <c r="C28" s="11" t="s">
        <v>600</v>
      </c>
      <c r="D28" s="10" t="s">
        <v>177</v>
      </c>
      <c r="E28" s="10" t="s">
        <v>287</v>
      </c>
      <c r="F28" s="11" t="s">
        <v>601</v>
      </c>
      <c r="G28" s="10" t="s">
        <v>288</v>
      </c>
      <c r="H28" s="11" t="s">
        <v>602</v>
      </c>
      <c r="I28" s="10" t="s">
        <v>577</v>
      </c>
    </row>
    <row r="29" customFormat="false" ht="23.85" hidden="false" customHeight="false" outlineLevel="0" collapsed="false">
      <c r="A29" s="10" t="s">
        <v>487</v>
      </c>
      <c r="B29" s="10" t="s">
        <v>303</v>
      </c>
      <c r="C29" s="11" t="s">
        <v>304</v>
      </c>
      <c r="D29" s="10" t="s">
        <v>239</v>
      </c>
      <c r="E29" s="10" t="s">
        <v>305</v>
      </c>
      <c r="F29" s="11" t="s">
        <v>603</v>
      </c>
      <c r="G29" s="10" t="s">
        <v>240</v>
      </c>
      <c r="H29" s="11" t="s">
        <v>604</v>
      </c>
      <c r="I29" s="10" t="s">
        <v>577</v>
      </c>
    </row>
    <row r="30" customFormat="false" ht="15" hidden="false" customHeight="false" outlineLevel="0" collapsed="false">
      <c r="A30" s="10" t="s">
        <v>476</v>
      </c>
      <c r="B30" s="10" t="s">
        <v>356</v>
      </c>
      <c r="C30" s="11" t="s">
        <v>357</v>
      </c>
      <c r="D30" s="10" t="s">
        <v>239</v>
      </c>
      <c r="E30" s="10" t="s">
        <v>68</v>
      </c>
      <c r="F30" s="11" t="s">
        <v>605</v>
      </c>
      <c r="G30" s="10" t="s">
        <v>461</v>
      </c>
      <c r="H30" s="11" t="s">
        <v>606</v>
      </c>
      <c r="I30" s="10" t="s">
        <v>577</v>
      </c>
    </row>
    <row r="31" customFormat="false" ht="15" hidden="false" customHeight="false" outlineLevel="0" collapsed="false">
      <c r="A31" s="10" t="s">
        <v>476</v>
      </c>
      <c r="B31" s="10" t="s">
        <v>359</v>
      </c>
      <c r="C31" s="11" t="s">
        <v>360</v>
      </c>
      <c r="D31" s="10" t="s">
        <v>239</v>
      </c>
      <c r="E31" s="10" t="s">
        <v>68</v>
      </c>
      <c r="F31" s="11" t="s">
        <v>607</v>
      </c>
      <c r="G31" s="10" t="s">
        <v>461</v>
      </c>
      <c r="H31" s="11" t="s">
        <v>608</v>
      </c>
      <c r="I31" s="10" t="s">
        <v>577</v>
      </c>
    </row>
    <row r="32" customFormat="false" ht="15" hidden="false" customHeight="false" outlineLevel="0" collapsed="false">
      <c r="A32" s="10" t="s">
        <v>476</v>
      </c>
      <c r="B32" s="10" t="s">
        <v>609</v>
      </c>
      <c r="C32" s="11" t="s">
        <v>610</v>
      </c>
      <c r="D32" s="10" t="s">
        <v>611</v>
      </c>
      <c r="E32" s="10" t="s">
        <v>68</v>
      </c>
      <c r="F32" s="11" t="s">
        <v>612</v>
      </c>
      <c r="G32" s="10" t="s">
        <v>461</v>
      </c>
      <c r="H32" s="11" t="s">
        <v>613</v>
      </c>
      <c r="I32" s="10" t="s">
        <v>577</v>
      </c>
    </row>
    <row r="33" customFormat="false" ht="15" hidden="false" customHeight="false" outlineLevel="0" collapsed="false">
      <c r="A33" s="10" t="s">
        <v>476</v>
      </c>
      <c r="B33" s="10" t="s">
        <v>370</v>
      </c>
      <c r="C33" s="11" t="s">
        <v>371</v>
      </c>
      <c r="D33" s="10" t="s">
        <v>308</v>
      </c>
      <c r="E33" s="10" t="s">
        <v>68</v>
      </c>
      <c r="F33" s="11" t="s">
        <v>614</v>
      </c>
      <c r="G33" s="10" t="s">
        <v>461</v>
      </c>
      <c r="H33" s="11" t="s">
        <v>615</v>
      </c>
      <c r="I33" s="10" t="s">
        <v>577</v>
      </c>
    </row>
    <row r="34" customFormat="false" ht="15" hidden="false" customHeight="false" outlineLevel="0" collapsed="false">
      <c r="A34" s="10" t="s">
        <v>476</v>
      </c>
      <c r="B34" s="10" t="s">
        <v>373</v>
      </c>
      <c r="C34" s="11" t="s">
        <v>616</v>
      </c>
      <c r="D34" s="10" t="s">
        <v>347</v>
      </c>
      <c r="E34" s="10" t="s">
        <v>68</v>
      </c>
      <c r="F34" s="11" t="s">
        <v>617</v>
      </c>
      <c r="G34" s="10" t="s">
        <v>461</v>
      </c>
      <c r="H34" s="11" t="s">
        <v>618</v>
      </c>
      <c r="I34" s="10" t="s">
        <v>577</v>
      </c>
    </row>
    <row r="35" customFormat="false" ht="15" hidden="false" customHeight="false" outlineLevel="0" collapsed="false">
      <c r="A35" s="10" t="s">
        <v>476</v>
      </c>
      <c r="B35" s="10" t="s">
        <v>376</v>
      </c>
      <c r="C35" s="11" t="s">
        <v>377</v>
      </c>
      <c r="D35" s="10" t="s">
        <v>378</v>
      </c>
      <c r="E35" s="10" t="s">
        <v>68</v>
      </c>
      <c r="F35" s="11" t="s">
        <v>619</v>
      </c>
      <c r="G35" s="10" t="s">
        <v>461</v>
      </c>
      <c r="H35" s="11" t="s">
        <v>620</v>
      </c>
      <c r="I35" s="10" t="s">
        <v>577</v>
      </c>
    </row>
    <row r="36" customFormat="false" ht="15" hidden="false" customHeight="false" outlineLevel="0" collapsed="false">
      <c r="A36" s="10" t="s">
        <v>476</v>
      </c>
      <c r="B36" s="10" t="s">
        <v>380</v>
      </c>
      <c r="C36" s="11" t="n">
        <v>0.985</v>
      </c>
      <c r="D36" s="10" t="s">
        <v>381</v>
      </c>
      <c r="E36" s="10" t="s">
        <v>68</v>
      </c>
      <c r="F36" s="11" t="s">
        <v>621</v>
      </c>
      <c r="G36" s="10" t="s">
        <v>461</v>
      </c>
      <c r="H36" s="11" t="s">
        <v>622</v>
      </c>
      <c r="I36" s="10" t="s">
        <v>577</v>
      </c>
    </row>
    <row r="37" customFormat="false" ht="15" hidden="false" customHeight="false" outlineLevel="0" collapsed="false">
      <c r="A37" s="10" t="s">
        <v>476</v>
      </c>
      <c r="B37" s="10" t="s">
        <v>383</v>
      </c>
      <c r="C37" s="11" t="n">
        <v>0.1</v>
      </c>
      <c r="D37" s="10" t="s">
        <v>381</v>
      </c>
      <c r="E37" s="10" t="s">
        <v>68</v>
      </c>
      <c r="F37" s="11" t="s">
        <v>623</v>
      </c>
      <c r="G37" s="10" t="s">
        <v>461</v>
      </c>
      <c r="H37" s="11" t="s">
        <v>624</v>
      </c>
      <c r="I37" s="10" t="s">
        <v>577</v>
      </c>
    </row>
    <row r="38" customFormat="false" ht="23.85" hidden="false" customHeight="false" outlineLevel="0" collapsed="false">
      <c r="A38" s="10" t="s">
        <v>476</v>
      </c>
      <c r="B38" s="10" t="s">
        <v>397</v>
      </c>
      <c r="C38" s="11" t="n">
        <v>0.01</v>
      </c>
      <c r="D38" s="10" t="s">
        <v>398</v>
      </c>
      <c r="E38" s="10" t="s">
        <v>68</v>
      </c>
      <c r="F38" s="11" t="s">
        <v>625</v>
      </c>
      <c r="G38" s="10" t="s">
        <v>461</v>
      </c>
      <c r="H38" s="11" t="s">
        <v>626</v>
      </c>
      <c r="I38" s="10" t="s">
        <v>577</v>
      </c>
    </row>
    <row r="39" customFormat="false" ht="15" hidden="false" customHeight="false" outlineLevel="0" collapsed="false">
      <c r="A39" s="10" t="s">
        <v>476</v>
      </c>
      <c r="B39" s="10" t="s">
        <v>400</v>
      </c>
      <c r="C39" s="11" t="n">
        <v>0.055</v>
      </c>
      <c r="D39" s="10" t="s">
        <v>398</v>
      </c>
      <c r="E39" s="10" t="s">
        <v>68</v>
      </c>
      <c r="F39" s="11" t="s">
        <v>627</v>
      </c>
      <c r="G39" s="10" t="s">
        <v>461</v>
      </c>
      <c r="H39" s="11" t="s">
        <v>628</v>
      </c>
      <c r="I39" s="10" t="s">
        <v>577</v>
      </c>
    </row>
    <row r="40" customFormat="false" ht="15" hidden="false" customHeight="false" outlineLevel="0" collapsed="false">
      <c r="A40" s="10" t="s">
        <v>476</v>
      </c>
      <c r="B40" s="10" t="s">
        <v>402</v>
      </c>
      <c r="C40" s="11" t="s">
        <v>629</v>
      </c>
      <c r="D40" s="10" t="s">
        <v>404</v>
      </c>
      <c r="E40" s="10" t="s">
        <v>68</v>
      </c>
      <c r="F40" s="11" t="s">
        <v>612</v>
      </c>
      <c r="G40" s="10" t="s">
        <v>461</v>
      </c>
      <c r="H40" s="11" t="s">
        <v>630</v>
      </c>
      <c r="I40" s="10" t="s">
        <v>577</v>
      </c>
    </row>
    <row r="41" customFormat="false" ht="15" hidden="false" customHeight="false" outlineLevel="0" collapsed="false">
      <c r="A41" s="10" t="s">
        <v>476</v>
      </c>
      <c r="B41" s="10" t="s">
        <v>631</v>
      </c>
      <c r="C41" s="11" t="s">
        <v>632</v>
      </c>
      <c r="D41" s="10" t="s">
        <v>633</v>
      </c>
      <c r="E41" s="10" t="s">
        <v>68</v>
      </c>
      <c r="F41" s="11" t="s">
        <v>578</v>
      </c>
      <c r="G41" s="10" t="s">
        <v>461</v>
      </c>
      <c r="H41" s="11" t="s">
        <v>634</v>
      </c>
      <c r="I41" s="10" t="s">
        <v>577</v>
      </c>
    </row>
    <row r="42" customFormat="false" ht="15" hidden="false" customHeight="false" outlineLevel="0" collapsed="false">
      <c r="A42" s="10" t="s">
        <v>476</v>
      </c>
      <c r="B42" s="10" t="s">
        <v>406</v>
      </c>
      <c r="C42" s="11" t="n">
        <v>0.7</v>
      </c>
      <c r="D42" s="10" t="s">
        <v>398</v>
      </c>
      <c r="E42" s="10" t="s">
        <v>68</v>
      </c>
      <c r="F42" s="11" t="s">
        <v>578</v>
      </c>
      <c r="G42" s="10" t="s">
        <v>461</v>
      </c>
      <c r="H42" s="11" t="s">
        <v>635</v>
      </c>
      <c r="I42" s="10" t="s">
        <v>577</v>
      </c>
    </row>
    <row r="43" customFormat="false" ht="15" hidden="false" customHeight="false" outlineLevel="0" collapsed="false">
      <c r="A43" s="10" t="s">
        <v>408</v>
      </c>
      <c r="B43" s="10" t="s">
        <v>409</v>
      </c>
      <c r="C43" s="11" t="n">
        <v>0.15</v>
      </c>
      <c r="D43" s="10" t="s">
        <v>216</v>
      </c>
      <c r="E43" s="10" t="s">
        <v>68</v>
      </c>
      <c r="F43" s="11" t="s">
        <v>636</v>
      </c>
      <c r="G43" s="10" t="s">
        <v>461</v>
      </c>
      <c r="H43" s="11" t="s">
        <v>637</v>
      </c>
      <c r="I43" s="10" t="s">
        <v>577</v>
      </c>
    </row>
    <row r="44" customFormat="false" ht="15" hidden="false" customHeight="false" outlineLevel="0" collapsed="false">
      <c r="A44" s="10" t="s">
        <v>408</v>
      </c>
      <c r="B44" s="10" t="s">
        <v>411</v>
      </c>
      <c r="C44" s="11" t="n">
        <v>0.08</v>
      </c>
      <c r="D44" s="10" t="s">
        <v>398</v>
      </c>
      <c r="E44" s="10" t="s">
        <v>68</v>
      </c>
      <c r="F44" s="11" t="s">
        <v>578</v>
      </c>
      <c r="G44" s="10" t="s">
        <v>461</v>
      </c>
      <c r="H44" s="11" t="s">
        <v>638</v>
      </c>
      <c r="I44" s="10" t="s">
        <v>577</v>
      </c>
    </row>
    <row r="45" customFormat="false" ht="15" hidden="false" customHeight="false" outlineLevel="0" collapsed="false">
      <c r="A45" s="10" t="s">
        <v>408</v>
      </c>
      <c r="B45" s="10" t="s">
        <v>413</v>
      </c>
      <c r="C45" s="11" t="n">
        <v>10</v>
      </c>
      <c r="D45" s="10" t="s">
        <v>347</v>
      </c>
      <c r="E45" s="10" t="s">
        <v>68</v>
      </c>
      <c r="F45" s="11" t="s">
        <v>639</v>
      </c>
      <c r="G45" s="10" t="s">
        <v>461</v>
      </c>
      <c r="H45" s="11" t="s">
        <v>640</v>
      </c>
      <c r="I45" s="10" t="s">
        <v>577</v>
      </c>
    </row>
    <row r="46" customFormat="false" ht="15" hidden="false" customHeight="false" outlineLevel="0" collapsed="false">
      <c r="A46" s="10" t="s">
        <v>408</v>
      </c>
      <c r="B46" s="10" t="s">
        <v>415</v>
      </c>
      <c r="C46" s="11" t="s">
        <v>416</v>
      </c>
      <c r="D46" s="10" t="s">
        <v>404</v>
      </c>
      <c r="E46" s="10" t="s">
        <v>68</v>
      </c>
      <c r="F46" s="11" t="s">
        <v>578</v>
      </c>
      <c r="G46" s="10" t="s">
        <v>461</v>
      </c>
      <c r="H46" s="11" t="s">
        <v>641</v>
      </c>
      <c r="I46" s="10" t="s">
        <v>577</v>
      </c>
    </row>
    <row r="47" customFormat="false" ht="15" hidden="false" customHeight="false" outlineLevel="0" collapsed="false">
      <c r="A47" s="10" t="s">
        <v>408</v>
      </c>
      <c r="B47" s="10" t="s">
        <v>418</v>
      </c>
      <c r="C47" s="11" t="n">
        <v>4</v>
      </c>
      <c r="D47" s="10" t="s">
        <v>347</v>
      </c>
      <c r="E47" s="10" t="s">
        <v>68</v>
      </c>
      <c r="F47" s="11" t="s">
        <v>578</v>
      </c>
      <c r="G47" s="10" t="s">
        <v>461</v>
      </c>
      <c r="H47" s="11" t="s">
        <v>642</v>
      </c>
      <c r="I47" s="10" t="s">
        <v>577</v>
      </c>
    </row>
    <row r="48" customFormat="false" ht="15" hidden="false" customHeight="false" outlineLevel="0" collapsed="false">
      <c r="A48" s="10" t="s">
        <v>420</v>
      </c>
      <c r="B48" s="10" t="s">
        <v>421</v>
      </c>
      <c r="C48" s="11" t="s">
        <v>643</v>
      </c>
      <c r="D48" s="10" t="s">
        <v>263</v>
      </c>
      <c r="E48" s="10" t="s">
        <v>68</v>
      </c>
      <c r="F48" s="11" t="s">
        <v>644</v>
      </c>
      <c r="G48" s="10" t="s">
        <v>645</v>
      </c>
      <c r="H48" s="11" t="s">
        <v>646</v>
      </c>
      <c r="I48" s="10" t="s">
        <v>577</v>
      </c>
    </row>
    <row r="49" customFormat="false" ht="23.85" hidden="false" customHeight="false" outlineLevel="0" collapsed="false">
      <c r="A49" s="10" t="s">
        <v>647</v>
      </c>
      <c r="B49" s="10" t="s">
        <v>648</v>
      </c>
      <c r="C49" s="11" t="s">
        <v>649</v>
      </c>
      <c r="D49" s="10" t="s">
        <v>460</v>
      </c>
      <c r="E49" s="10" t="s">
        <v>41</v>
      </c>
      <c r="F49" s="11" t="s">
        <v>650</v>
      </c>
      <c r="G49" s="10" t="s">
        <v>461</v>
      </c>
      <c r="H49" s="11" t="s">
        <v>651</v>
      </c>
      <c r="I49" s="10" t="s">
        <v>577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5" min="3" style="0" width="56"/>
    <col collapsed="false" customWidth="true" hidden="false" outlineLevel="0" max="6" min="6" style="0" width="74"/>
  </cols>
  <sheetData>
    <row r="1" customFormat="false" ht="16.15" hidden="false" customHeight="false" outlineLevel="0" collapsed="false">
      <c r="A1" s="1" t="s">
        <v>652</v>
      </c>
    </row>
    <row r="2" customFormat="false" ht="15" hidden="false" customHeight="false" outlineLevel="0" collapsed="false">
      <c r="A2" s="2" t="s">
        <v>653</v>
      </c>
    </row>
    <row r="4" customFormat="false" ht="15" hidden="false" customHeight="false" outlineLevel="0" collapsed="false">
      <c r="A4" s="7" t="s">
        <v>654</v>
      </c>
      <c r="B4" s="7" t="s">
        <v>655</v>
      </c>
      <c r="C4" s="7" t="s">
        <v>656</v>
      </c>
      <c r="D4" s="7" t="s">
        <v>657</v>
      </c>
      <c r="E4" s="7" t="s">
        <v>658</v>
      </c>
      <c r="F4" s="7" t="s">
        <v>659</v>
      </c>
    </row>
    <row r="5" customFormat="false" ht="120" hidden="false" customHeight="true" outlineLevel="0" collapsed="false">
      <c r="A5" s="8" t="s">
        <v>660</v>
      </c>
      <c r="B5" s="9" t="s">
        <v>661</v>
      </c>
      <c r="C5" s="9" t="s">
        <v>662</v>
      </c>
      <c r="D5" s="9" t="s">
        <v>663</v>
      </c>
      <c r="E5" s="9" t="s">
        <v>664</v>
      </c>
      <c r="F5" s="9" t="s">
        <v>665</v>
      </c>
    </row>
    <row r="6" customFormat="false" ht="120" hidden="false" customHeight="true" outlineLevel="0" collapsed="false">
      <c r="A6" s="8" t="s">
        <v>666</v>
      </c>
      <c r="B6" s="9" t="s">
        <v>667</v>
      </c>
      <c r="C6" s="9" t="s">
        <v>668</v>
      </c>
      <c r="D6" s="9" t="s">
        <v>669</v>
      </c>
      <c r="E6" s="9" t="s">
        <v>670</v>
      </c>
      <c r="F6" s="9" t="s">
        <v>671</v>
      </c>
    </row>
    <row r="7" customFormat="false" ht="120" hidden="false" customHeight="true" outlineLevel="0" collapsed="false">
      <c r="A7" s="8" t="s">
        <v>672</v>
      </c>
      <c r="B7" s="9" t="s">
        <v>673</v>
      </c>
      <c r="C7" s="9" t="s">
        <v>674</v>
      </c>
      <c r="D7" s="9" t="s">
        <v>675</v>
      </c>
      <c r="E7" s="9" t="s">
        <v>676</v>
      </c>
      <c r="F7" s="9" t="s">
        <v>677</v>
      </c>
    </row>
    <row r="8" customFormat="false" ht="120" hidden="false" customHeight="true" outlineLevel="0" collapsed="false">
      <c r="A8" s="8" t="s">
        <v>678</v>
      </c>
      <c r="B8" s="9" t="s">
        <v>679</v>
      </c>
      <c r="C8" s="9" t="s">
        <v>680</v>
      </c>
      <c r="D8" s="9" t="s">
        <v>681</v>
      </c>
      <c r="E8" s="9" t="s">
        <v>682</v>
      </c>
      <c r="F8" s="9" t="s">
        <v>683</v>
      </c>
    </row>
    <row r="9" customFormat="false" ht="120" hidden="false" customHeight="true" outlineLevel="0" collapsed="false">
      <c r="A9" s="8" t="s">
        <v>684</v>
      </c>
      <c r="B9" s="9" t="s">
        <v>685</v>
      </c>
      <c r="C9" s="9" t="s">
        <v>686</v>
      </c>
      <c r="D9" s="9" t="s">
        <v>687</v>
      </c>
      <c r="E9" s="9" t="s">
        <v>688</v>
      </c>
      <c r="F9" s="9" t="s">
        <v>689</v>
      </c>
    </row>
    <row r="10" customFormat="false" ht="120" hidden="false" customHeight="true" outlineLevel="0" collapsed="false">
      <c r="A10" s="8" t="s">
        <v>690</v>
      </c>
      <c r="B10" s="9" t="s">
        <v>691</v>
      </c>
      <c r="C10" s="9" t="s">
        <v>692</v>
      </c>
      <c r="D10" s="9" t="s">
        <v>693</v>
      </c>
      <c r="E10" s="9" t="s">
        <v>694</v>
      </c>
      <c r="F10" s="9" t="s">
        <v>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4" min="3" style="0" width="74"/>
    <col collapsed="false" customWidth="true" hidden="false" outlineLevel="0" max="5" min="5" style="0" width="84"/>
  </cols>
  <sheetData>
    <row r="1" customFormat="false" ht="16.15" hidden="false" customHeight="false" outlineLevel="0" collapsed="false">
      <c r="A1" s="1" t="s">
        <v>696</v>
      </c>
    </row>
    <row r="2" customFormat="false" ht="15" hidden="false" customHeight="false" outlineLevel="0" collapsed="false">
      <c r="A2" s="2" t="s">
        <v>697</v>
      </c>
    </row>
    <row r="4" customFormat="false" ht="15" hidden="false" customHeight="false" outlineLevel="0" collapsed="false">
      <c r="A4" s="7" t="s">
        <v>698</v>
      </c>
      <c r="B4" s="7" t="s">
        <v>699</v>
      </c>
      <c r="C4" s="7" t="s">
        <v>700</v>
      </c>
      <c r="D4" s="7" t="s">
        <v>701</v>
      </c>
      <c r="E4" s="7" t="s">
        <v>702</v>
      </c>
    </row>
    <row r="5" customFormat="false" ht="144.75" hidden="false" customHeight="true" outlineLevel="0" collapsed="false">
      <c r="A5" s="8" t="s">
        <v>703</v>
      </c>
      <c r="B5" s="9" t="s">
        <v>704</v>
      </c>
      <c r="C5" s="9" t="s">
        <v>705</v>
      </c>
      <c r="D5" s="9" t="s">
        <v>706</v>
      </c>
      <c r="E5" s="9" t="s">
        <v>707</v>
      </c>
    </row>
    <row r="6" customFormat="false" ht="144.75" hidden="false" customHeight="true" outlineLevel="0" collapsed="false">
      <c r="A6" s="8" t="s">
        <v>708</v>
      </c>
      <c r="B6" s="9" t="s">
        <v>709</v>
      </c>
      <c r="C6" s="9" t="s">
        <v>710</v>
      </c>
      <c r="D6" s="9" t="s">
        <v>711</v>
      </c>
      <c r="E6" s="9" t="s">
        <v>712</v>
      </c>
    </row>
    <row r="7" customFormat="false" ht="144.75" hidden="false" customHeight="true" outlineLevel="0" collapsed="false">
      <c r="A7" s="8" t="s">
        <v>713</v>
      </c>
      <c r="B7" s="9" t="s">
        <v>714</v>
      </c>
      <c r="C7" s="9" t="s">
        <v>715</v>
      </c>
      <c r="D7" s="9" t="s">
        <v>716</v>
      </c>
      <c r="E7" s="9" t="s">
        <v>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2026-08-26T03:03:33Z</dcterms:created>
  <dc:creator>openpyxl</dc:creator>
  <dc:description/>
  <dc:language>en-US</dc:language>
  <cp:lastModifiedBy/>
  <dcterms:modified xsi:type="dcterms:W3CDTF">2026-08-26T03:03:34Z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